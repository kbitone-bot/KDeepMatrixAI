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2025_공군85창\20250514_출장\"/>
    </mc:Choice>
  </mc:AlternateContent>
  <x:bookViews>
    <x:workbookView xWindow="0" yWindow="0" windowWidth="28545" windowHeight="11430" tabRatio="500"/>
  </x:bookViews>
  <x:sheets>
    <x:sheet name="85창 IMQC 등수 현황 종합" sheetId="1" r:id="rId4"/>
    <x:sheet name="1시험소" sheetId="2" r:id="rId5"/>
    <x:sheet name="2시험소" sheetId="3" r:id="rId6"/>
    <x:sheet name="3시험소" sheetId="4" r:id="rId7"/>
    <x:sheet name="5시험소" sheetId="5" r:id="rId8"/>
    <x:sheet name="6시험소" sheetId="6" r:id="rId9"/>
    <x:sheet name="7시험소" sheetId="7" r:id="rId10"/>
    <x:sheet name="8시험소" sheetId="8" r:id="rId11"/>
    <x:sheet name="방사선반" sheetId="9" r:id="rId12"/>
  </x:sheets>
  <x:definedNames>
    <x:definedName name="_xlnm._FilterDatabase" localSheetId="1" hidden="1">'1시험소'!$A$3:$I$55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localSheetId="2" hidden="1">'2시험소'!$A$4:$U$35</x:definedName>
    <x:definedName name="_xlnm._FilterDatabase" localSheetId="3" hidden="1">'3시험소'!$A$4:$T$50</x:definedName>
    <x:definedName name="_xlnm._FilterDatabase" localSheetId="4" hidden="1">'5시험소'!$A$4:$T$32</x:definedName>
    <x:definedName name="_xlnm._FilterDatabase" localSheetId="5" hidden="1">'6시험소'!$A$4:$T$27</x:definedName>
    <x:definedName name="_xlnm._FilterDatabase" localSheetId="6" hidden="1">'7시험소'!$A$4:$T$37</x:definedName>
    <x:definedName name="_xlnm._FilterDatabase" localSheetId="7" hidden="1">'8시험소'!$A$4:$T$31</x:definedName>
    <x:definedName name="_xlnm._FilterDatabase" localSheetId="0" hidden="1">'85창 IMQC 등수 현황 종합'!$A$3:$S$251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<x:sst xmlns:r="http://schemas.openxmlformats.org/officeDocument/2006/relationships" xmlns:c="http://schemas.openxmlformats.org/drawingml/2006/chart" xmlns:x="http://schemas.openxmlformats.org/spreadsheetml/2006/main" count="5222" uniqueCount="385">
  <x:si>
    <x:t>25.03.04 전출(1시 → 8시)</x:t>
  </x:si>
  <x:si>
    <x:t>'24년 등급('24. 6. 30. 기준)</x:t>
  </x:si>
  <x:si>
    <x:t>25.02.24 전입(3시 → 1시)</x:t>
  </x:si>
  <x:si>
    <x:t>방사선측정장비정비사 '24년 9월 전입</x:t>
  </x:si>
  <x:si>
    <x:t>'24년 등급('24. 4. 30. 기준)</x:t>
  </x:si>
  <x:si>
    <x:t>'24년 등급('24. 3. 31. 기준)</x:t>
  </x:si>
  <x:si>
    <x:t>'24년 등급('24. 7. 30. 기준)</x:t>
  </x:si>
  <x:si>
    <x:t>'24년 등급('24. 8. 30. 기준)</x:t>
  </x:si>
  <x:si>
    <x:t>전반기 식당근무 상번('24년12월)</x:t>
  </x:si>
  <x:si>
    <x:t>24.08.22.(19비→1시험소 전입)</x:t>
  </x:si>
  <x:si>
    <x:t>'24년 등급('24. 9. 30. 기준)</x:t>
  </x:si>
  <x:si>
    <x:t>'24년 등급('24. 2. 29. 기준)</x:t>
  </x:si>
  <x:si>
    <x:t>'24년 등급('24. 5. 31. 기준)</x:t>
  </x:si>
  <x:si>
    <x:t>'24년 등급('24. 1. 31. 기준)</x:t>
  </x:si>
  <x:si>
    <x:t>임장호</x:t>
  </x:si>
  <x:si>
    <x:t>이재우</x:t>
  </x:si>
  <x:si>
    <x:t>박유정</x:t>
  </x:si>
  <x:si>
    <x:t>이상재</x:t>
  </x:si>
  <x:si>
    <x:t>양진한</x:t>
  </x:si>
  <x:si>
    <x:t>송하운</x:t>
  </x:si>
  <x:si>
    <x:t>허희정</x:t>
  </x:si>
  <x:si>
    <x:t>엄재갑</x:t>
  </x:si>
  <x:si>
    <x:t>이영진</x:t>
  </x:si>
  <x:si>
    <x:t>김건수</x:t>
  </x:si>
  <x:si>
    <x:t>서준원</x:t>
  </x:si>
  <x:si>
    <x:t>엄승현</x:t>
  </x:si>
  <x:si>
    <x:t>박지선</x:t>
  </x:si>
  <x:si>
    <x:t>조미선</x:t>
  </x:si>
  <x:si>
    <x:t>신항범</x:t>
  </x:si>
  <x:si>
    <x:t>정진우</x:t>
  </x:si>
  <x:si>
    <x:t>기성수</x:t>
  </x:si>
  <x:si>
    <x:t>정훈</x:t>
  </x:si>
  <x:si>
    <x:t>편수정</x:t>
  </x:si>
  <x:si>
    <x:t>이진성</x:t>
  </x:si>
  <x:si>
    <x:t>김성주</x:t>
  </x:si>
  <x:si>
    <x:t>최재영</x:t>
  </x:si>
  <x:si>
    <x:t>3A</x:t>
  </x:si>
  <x:si>
    <x:t>김동우</x:t>
  </x:si>
  <x:si>
    <x:t>강창인</x:t>
  </x:si>
  <x:si>
    <x:t>김은성</x:t>
  </x:si>
  <x:si>
    <x:t>순번</x:t>
  </x:si>
  <x:si>
    <x:t>박진선</x:t>
  </x:si>
  <x:si>
    <x:t>김건우</x:t>
  </x:si>
  <x:si>
    <x:t>정종윤</x:t>
  </x:si>
  <x:si>
    <x:t>박준혁</x:t>
  </x:si>
  <x:si>
    <x:t>김보라</x:t>
  </x:si>
  <x:si>
    <x:t>김주혜</x:t>
  </x:si>
  <x:si>
    <x:t>이성욱</x:t>
  </x:si>
  <x:si>
    <x:t>김종환</x:t>
  </x:si>
  <x:si>
    <x:t>김현수</x:t>
  </x:si>
  <x:si>
    <x:t>장현주</x:t>
  </x:si>
  <x:si>
    <x:t>김민석</x:t>
  </x:si>
  <x:si>
    <x:t>김현석</x:t>
  </x:si>
  <x:si>
    <x:t>김홍탁</x:t>
  </x:si>
  <x:si>
    <x:t>김정진</x:t>
  </x:si>
  <x:si>
    <x:t>장지웅</x:t>
  </x:si>
  <x:si>
    <x:t>홍예찬</x:t>
  </x:si>
  <x:si>
    <x:t>김영환</x:t>
  </x:si>
  <x:si>
    <x:t>이현기</x:t>
  </x:si>
  <x:si>
    <x:t>김종혁</x:t>
  </x:si>
  <x:si>
    <x:t>백순일</x:t>
  </x:si>
  <x:si>
    <x:t>유지예</x:t>
  </x:si>
  <x:si>
    <x:t>전혜원</x:t>
  </x:si>
  <x:si>
    <x:t>홍광희</x:t>
  </x:si>
  <x:si>
    <x:t>차선협</x:t>
  </x:si>
  <x:si>
    <x:t>정영글</x:t>
  </x:si>
  <x:si>
    <x:t>강도훈</x:t>
  </x:si>
  <x:si>
    <x:t>정대근</x:t>
  </x:si>
  <x:si>
    <x:t>박성우</x:t>
  </x:si>
  <x:si>
    <x:t>안병득</x:t>
  </x:si>
  <x:si>
    <x:t>서은주</x:t>
  </x:si>
  <x:si>
    <x:t>김우람</x:t>
  </x:si>
  <x:si>
    <x:t>장찬형</x:t>
  </x:si>
  <x:si>
    <x:t>이정환</x:t>
  </x:si>
  <x:si>
    <x:t>신연우</x:t>
  </x:si>
  <x:si>
    <x:t>최재진</x:t>
  </x:si>
  <x:si>
    <x:t>문지웅</x:t>
  </x:si>
  <x:si>
    <x:t>송규호</x:t>
  </x:si>
  <x:si>
    <x:t>이승찬</x:t>
  </x:si>
  <x:si>
    <x:t>권오돈</x:t>
  </x:si>
  <x:si>
    <x:t>이민성</x:t>
  </x:si>
  <x:si>
    <x:t>배윤석</x:t>
  </x:si>
  <x:si>
    <x:t>이재용</x:t>
  </x:si>
  <x:si>
    <x:t>송하경</x:t>
  </x:si>
  <x:si>
    <x:t>신상훈</x:t>
  </x:si>
  <x:si>
    <x:t>이형석</x:t>
  </x:si>
  <x:si>
    <x:t>김경년</x:t>
  </x:si>
  <x:si>
    <x:t>남기두</x:t>
  </x:si>
  <x:si>
    <x:t>신창규</x:t>
  </x:si>
  <x:si>
    <x:t>김영훈</x:t>
  </x:si>
  <x:si>
    <x:t>신나영</x:t>
  </x:si>
  <x:si>
    <x:t>이종진</x:t>
  </x:si>
  <x:si>
    <x:t>김환수</x:t>
  </x:si>
  <x:si>
    <x:t>봉경환</x:t>
  </x:si>
  <x:si>
    <x:t>전금배</x:t>
  </x:si>
  <x:si>
    <x:t>차홍정</x:t>
  </x:si>
  <x:si>
    <x:t>이성진</x:t>
  </x:si>
  <x:si>
    <x:t>전현규</x:t>
  </x:si>
  <x:si>
    <x:t>황태상</x:t>
  </x:si>
  <x:si>
    <x:t>강세준</x:t>
  </x:si>
  <x:si>
    <x:t>김동훈</x:t>
  </x:si>
  <x:si>
    <x:t>이상용</x:t>
  </x:si>
  <x:si>
    <x:t>박민재</x:t>
  </x:si>
  <x:si>
    <x:t>최혜림</x:t>
  </x:si>
  <x:si>
    <x:t>이태권</x:t>
  </x:si>
  <x:si>
    <x:t>박경희</x:t>
  </x:si>
  <x:si>
    <x:t>김형철</x:t>
  </x:si>
  <x:si>
    <x:t>박성준</x:t>
  </x:si>
  <x:si>
    <x:t>박종성</x:t>
  </x:si>
  <x:si>
    <x:t>김명진</x:t>
  </x:si>
  <x:si>
    <x:t>전재심</x:t>
  </x:si>
  <x:si>
    <x:t>이아림</x:t>
  </x:si>
  <x:si>
    <x:t>전소희</x:t>
  </x:si>
  <x:si>
    <x:t>정희태</x:t>
  </x:si>
  <x:si>
    <x:t>전상진</x:t>
  </x:si>
  <x:si>
    <x:t>정동철</x:t>
  </x:si>
  <x:si>
    <x:t>김문현</x:t>
  </x:si>
  <x:si>
    <x:t>서재구</x:t>
  </x:si>
  <x:si>
    <x:t>이성민</x:t>
  </x:si>
  <x:si>
    <x:t>곽이욱</x:t>
  </x:si>
  <x:si>
    <x:t>이용섭</x:t>
  </x:si>
  <x:si>
    <x:t>최희철</x:t>
  </x:si>
  <x:si>
    <x:t>임태우</x:t>
  </x:si>
  <x:si>
    <x:t>정찬호</x:t>
  </x:si>
  <x:si>
    <x:t>김학진</x:t>
  </x:si>
  <x:si>
    <x:t>맹영민</x:t>
  </x:si>
  <x:si>
    <x:t>황병수</x:t>
  </x:si>
  <x:si>
    <x:t>김진우</x:t>
  </x:si>
  <x:si>
    <x:t>심범용</x:t>
  </x:si>
  <x:si>
    <x:t>이대형</x:t>
  </x:si>
  <x:si>
    <x:t>채동규</x:t>
  </x:si>
  <x:si>
    <x:t>류선영</x:t>
  </x:si>
  <x:si>
    <x:t>최만근</x:t>
  </x:si>
  <x:si>
    <x:t>임채빈</x:t>
  </x:si>
  <x:si>
    <x:t>민경환</x:t>
  </x:si>
  <x:si>
    <x:t>이승규</x:t>
  </x:si>
  <x:si>
    <x:t>연제선</x:t>
  </x:si>
  <x:si>
    <x:t>윤상진</x:t>
  </x:si>
  <x:si>
    <x:t>오영광</x:t>
  </x:si>
  <x:si>
    <x:t>조현주</x:t>
  </x:si>
  <x:si>
    <x:t>이효성</x:t>
  </x:si>
  <x:si>
    <x:t>문주미</x:t>
  </x:si>
  <x:si>
    <x:t>박윤철</x:t>
  </x:si>
  <x:si>
    <x:t>박진수</x:t>
  </x:si>
  <x:si>
    <x:t>조정현</x:t>
  </x:si>
  <x:si>
    <x:t>강성귀</x:t>
  </x:si>
  <x:si>
    <x:t>김동보</x:t>
  </x:si>
  <x:si>
    <x:t>최영미</x:t>
  </x:si>
  <x:si>
    <x:t>서준교</x:t>
  </x:si>
  <x:si>
    <x:t>김선일</x:t>
  </x:si>
  <x:si>
    <x:t>김도현</x:t>
  </x:si>
  <x:si>
    <x:t>곽성운</x:t>
  </x:si>
  <x:si>
    <x:t>최범준</x:t>
  </x:si>
  <x:si>
    <x:t>최희정</x:t>
  </x:si>
  <x:si>
    <x:t>심승오</x:t>
  </x:si>
  <x:si>
    <x:t>제영모</x:t>
  </x:si>
  <x:si>
    <x:t>김범석</x:t>
  </x:si>
  <x:si>
    <x:t>이지영</x:t>
  </x:si>
  <x:si>
    <x:t>2A</x:t>
  </x:si>
  <x:si>
    <x:t>김선화</x:t>
  </x:si>
  <x:si>
    <x:t>도량</x:t>
  </x:si>
  <x:si>
    <x:t>김형진</x:t>
  </x:si>
  <x:si>
    <x:t>1B</x:t>
  </x:si>
  <x:si>
    <x:t>박선영</x:t>
  </x:si>
  <x:si>
    <x:t>이우준</x:t>
  </x:si>
  <x:si>
    <x:t>강두훈</x:t>
  </x:si>
  <x:si>
    <x:t>박영찬</x:t>
  </x:si>
  <x:si>
    <x:t>9급</x:t>
  </x:si>
  <x:si>
    <x:t>상사</x:t>
  </x:si>
  <x:si>
    <x:t>권재현</x:t>
  </x:si>
  <x:si>
    <x:t>배경희</x:t>
  </x:si>
  <x:si>
    <x:t>8급</x:t>
  </x:si>
  <x:si>
    <x:t>소상현</x:t>
  </x:si>
  <x:si>
    <x:t>7급</x:t>
  </x:si>
  <x:si>
    <x:t>임용찬</x:t>
  </x:si>
  <x:si>
    <x:t>2C</x:t>
  </x:si>
  <x:si>
    <x:t>이남희</x:t>
  </x:si>
  <x:si>
    <x:t>정영희</x:t>
  </x:si>
  <x:si>
    <x:t>황세윤</x:t>
  </x:si>
  <x:si>
    <x:t>5급</x:t>
  </x:si>
  <x:si>
    <x:t>김정수</x:t>
  </x:si>
  <x:si>
    <x:t>고선훈</x:t>
  </x:si>
  <x:si>
    <x:t>손봉근</x:t>
  </x:si>
  <x:si>
    <x:t>최준혁</x:t>
  </x:si>
  <x:si>
    <x:t>김병률</x:t>
  </x:si>
  <x:si>
    <x:t>김혜진</x:t>
  </x:si>
  <x:si>
    <x:t>성명</x:t>
  </x:si>
  <x:si>
    <x:t>이강재</x:t>
  </x:si>
  <x:si>
    <x:t>3B</x:t>
  </x:si>
  <x:si>
    <x:t>강성윤</x:t>
  </x:si>
  <x:si>
    <x:t>김선길</x:t>
  </x:si>
  <x:si>
    <x:t>3C</x:t>
  </x:si>
  <x:si>
    <x:t>종합</x:t>
  </x:si>
  <x:si>
    <x:t>방민준</x:t>
  </x:si>
  <x:si>
    <x:t>허태영</x:t>
  </x:si>
  <x:si>
    <x:t>이현우</x:t>
  </x:si>
  <x:si>
    <x:t>이진호</x:t>
  </x:si>
  <x:si>
    <x:t>강백원</x:t>
  </x:si>
  <x:si>
    <x:t>이상환</x:t>
  </x:si>
  <x:si>
    <x:t>이혜정</x:t>
  </x:si>
  <x:si>
    <x:t>염일우</x:t>
  </x:si>
  <x:si>
    <x:t>4B</x:t>
  </x:si>
  <x:si>
    <x:t>신흥근</x:t>
  </x:si>
  <x:si>
    <x:t>이창형</x:t>
  </x:si>
  <x:si>
    <x:t>박종일</x:t>
  </x:si>
  <x:si>
    <x:t>박희재</x:t>
  </x:si>
  <x:si>
    <x:t>제봉규</x:t>
  </x:si>
  <x:si>
    <x:t>길성일</x:t>
  </x:si>
  <x:si>
    <x:t>군번</x:t>
  </x:si>
  <x:si>
    <x:t>김진이</x:t>
  </x:si>
  <x:si>
    <x:t>하사</x:t>
  </x:si>
  <x:si>
    <x:t>신규하</x:t>
  </x:si>
  <x:si>
    <x:t>김선진</x:t>
  </x:si>
  <x:si>
    <x:t>한진희</x:t>
  </x:si>
  <x:si>
    <x:t>김동화</x:t>
  </x:si>
  <x:si>
    <x:t>1C</x:t>
  </x:si>
  <x:si>
    <x:t>송원필</x:t>
  </x:si>
  <x:si>
    <x:t>6급</x:t>
  </x:si>
  <x:si>
    <x:t>직보</x:t>
  </x:si>
  <x:si>
    <x:t>임선희</x:t>
  </x:si>
  <x:si>
    <x:t>이정주</x:t>
  </x:si>
  <x:si>
    <x:t>이승희</x:t>
  </x:si>
  <x:si>
    <x:t>박민경</x:t>
  </x:si>
  <x:si>
    <x:t>2B</x:t>
  </x:si>
  <x:si>
    <x:t>정민철</x:t>
  </x:si>
  <x:si>
    <x:t>1A</x:t>
  </x:si>
  <x:si>
    <x:t>한소연</x:t>
  </x:si>
  <x:si>
    <x:t>김병고</x:t>
  </x:si>
  <x:si>
    <x:t>허헌</x:t>
  </x:si>
  <x:si>
    <x:t>김현주</x:t>
  </x:si>
  <x:si>
    <x:t>4A</x:t>
  </x:si>
  <x:si>
    <x:t>4등급</x:t>
  </x:si>
  <x:si>
    <x:t>강동영</x:t>
  </x:si>
  <x:si>
    <x:t>오정환</x:t>
  </x:si>
  <x:si>
    <x:t>1등급</x:t>
  </x:si>
  <x:si>
    <x:t>소속</x:t>
  </x:si>
  <x:si>
    <x:t>송정호</x:t>
  </x:si>
  <x:si>
    <x:t>김동하</x:t>
  </x:si>
  <x:si>
    <x:t>4C</x:t>
  </x:si>
  <x:si>
    <x:t>이주은</x:t>
  </x:si>
  <x:si>
    <x:t>3등급</x:t>
  </x:si>
  <x:si>
    <x:t>오나영</x:t>
  </x:si>
  <x:si>
    <x:t>박호정</x:t>
  </x:si>
  <x:si>
    <x:t>황응주</x:t>
  </x:si>
  <x:si>
    <x:t>유인성</x:t>
  </x:si>
  <x:si>
    <x:t>계약직</x:t>
  </x:si>
  <x:si>
    <x:t>준위</x:t>
  </x:si>
  <x:si>
    <x:t>조용덕</x:t>
  </x:si>
  <x:si>
    <x:t>원사</x:t>
  </x:si>
  <x:si>
    <x:t>권순석</x:t>
  </x:si>
  <x:si>
    <x:t xml:space="preserve">원사 </x:t>
  </x:si>
  <x:si>
    <x:t>김철한</x:t>
  </x:si>
  <x:si>
    <x:t>정비반</x:t>
  </x:si>
  <x:si>
    <x:t>송주영</x:t>
  </x:si>
  <x:si>
    <x:t>류승열</x:t>
  </x:si>
  <x:si>
    <x:t>김재열</x:t>
  </x:si>
  <x:si>
    <x:t>박덕자</x:t>
  </x:si>
  <x:si>
    <x:t>계급</x:t>
  </x:si>
  <x:si>
    <x:t>윤종한</x:t>
  </x:si>
  <x:si>
    <x:t>이도갑</x:t>
  </x:si>
  <x:si>
    <x:t>서지수</x:t>
  </x:si>
  <x:si>
    <x:t>모성훈</x:t>
  </x:si>
  <x:si>
    <x:t>교정비</x:t>
  </x:si>
  <x:si>
    <x:t>김경찬</x:t>
  </x:si>
  <x:si>
    <x:t>지소장</x:t>
  </x:si>
  <x:si>
    <x:t>지소</x:t>
  </x:si>
  <x:si>
    <x:t>유한걸</x:t>
  </x:si>
  <x:si>
    <x:t>직접</x:t>
  </x:si>
  <x:si>
    <x:t>박준호</x:t>
  </x:si>
  <x:si>
    <x:t>―</x:t>
  </x:si>
  <x:si>
    <x:t>전혜인</x:t>
  </x:si>
  <x:si>
    <x:t>박태경</x:t>
  </x:si>
  <x:si>
    <x:t>간접</x:t>
  </x:si>
  <x:si>
    <x:t>중사</x:t>
  </x:si>
  <x:si>
    <x:t xml:space="preserve">상사 </x:t>
  </x:si>
  <x:si>
    <x:t>시험반</x:t>
  </x:si>
  <x:si>
    <x:t>김경창</x:t>
  </x:si>
  <x:si>
    <x:t>7호</x:t>
  </x:si>
  <x:si>
    <x:t>김태진</x:t>
  </x:si>
  <x:si>
    <x:t>강대웅</x:t>
  </x:si>
  <x:si>
    <x:t>교정반</x:t>
  </x:si>
  <x:si>
    <x:t>2등급</x:t>
  </x:si>
  <x:si>
    <x:t>김볌두</x:t>
  </x:si>
  <x:si>
    <x:t>저장반</x:t>
  </x:si>
  <x:si>
    <x:t>민영무</x:t>
  </x:si>
  <x:si>
    <x:t>도량반</x:t>
  </x:si>
  <x:si>
    <x:t>안지현</x:t>
  </x:si>
  <x:si>
    <x:t>직무</x:t>
  </x:si>
  <x:si>
    <x:t>신연호</x:t>
  </x:si>
  <x:si>
    <x:t>장인혜</x:t>
  </x:si>
  <x:si>
    <x:t>권승준</x:t>
  </x:si>
  <x:si>
    <x:t>신체계</x:t>
  </x:si>
  <x:si>
    <x:t>반구분</x:t>
  </x:si>
  <x:si>
    <x:t>한정승</x:t>
  </x:si>
  <x:si>
    <x:t>소속반</x:t>
  </x:si>
  <x:si>
    <x:t>서경진</x:t>
  </x:si>
  <x:si>
    <x:t>이용우</x:t>
  </x:si>
  <x:si>
    <x:t>방사선</x:t>
  </x:si>
  <x:si>
    <x:t>신홍근</x:t>
  </x:si>
  <x:si>
    <x:t>임호순</x:t>
  </x:si>
  <x:si>
    <x:t>구분</x:t>
  </x:si>
  <x:si>
    <x:t>방사전</x:t>
  </x:si>
  <x:si>
    <x:t>비 고</x:t>
  </x:si>
  <x:si>
    <x:r>
      <x:t xml:space="preserve">25년2월27일 정비관리담당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2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2"/>
            <x:color rgb="ffff0000"/>
            <x:b val="1"/>
          </x:rPr>
        </mc:Fallback>
      </mc:AlternateContent>
      <x:t>보임</x:t>
    </x:r>
  </x:si>
  <x:si>
    <x:r>
      <x:t xml:space="preserve">25년2월27일 1시 → 7시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2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2"/>
            <x:color rgb="ffff0000"/>
            <x:b val="1"/>
          </x:rPr>
        </mc:Fallback>
      </mc:AlternateContent>
      <x:t>전출</x:t>
    </x:r>
  </x:si>
  <x:si>
    <x:t>전기/전자정밀측정장비정비사(양주)</x:t>
  </x:si>
  <x:si>
    <x:t>도량형정밀측정장비정비사(강릉)</x:t>
  </x:si>
  <x:si>
    <x:t>24 교육사 이수항목(1)포함</x:t>
  </x:si>
  <x:si>
    <x:t>'24년 등급(신IMQC 기준)</x:t>
  </x:si>
  <x:si>
    <x:t>직보25.1.1.~25.12.31.</x:t>
  </x:si>
  <x:si>
    <x:t>도량형정밀측정장비정비사(충주)</x:t>
  </x:si>
  <x:si>
    <x:t>24년 교육사 이수항목포함(1)</x:t>
  </x:si>
  <x:si>
    <x:t>도량형정밀측정장비정비사(양주)</x:t>
  </x:si>
  <x:si>
    <x:t>전기/전자정밀측정장비정비사(충주)</x:t>
  </x:si>
  <x:si>
    <x:t>육아휴직 ~ '25년 6.24.</x:t>
  </x:si>
  <x:si>
    <x:t>전기/전자정밀측정장비정비사(강릉)</x:t>
  </x:si>
  <x:si>
    <x:t>'24년 등급('24. 10. 30. 기준)</x:t>
  </x:si>
  <x:si>
    <x:t>'24년 등급('24. 12. 30. 기준)</x:t>
  </x:si>
  <x:si>
    <x:t>'24년 등급('24. 11. 30. 기준)</x:t>
  </x:si>
  <x:si>
    <x:t>정밀측정장비/저장담당(충주)</x:t>
  </x:si>
  <x:si>
    <x:t>정밀측정장비정비관리담당</x:t>
  </x:si>
  <x:si>
    <x:t>[PFA01],[PFA06]</x:t>
  </x:si>
  <x:si>
    <x:t>25.03월 전입(임용)</x:t>
  </x:si>
  <x:si>
    <x:t>85창 IMQC 이수 현황</x:t>
  </x:si>
  <x:si>
    <x:t>승급계획
(전기/전자)</x:t>
  </x:si>
  <x:si>
    <x:t>전기/전자정밀측정장비정비사</x:t>
  </x:si>
  <x:si>
    <x:t>전입('24.03.01.)</x:t>
  </x:si>
  <x:si>
    <x:t>도량형정밀측정장비정비사</x:t>
  </x:si>
  <x:si>
    <x:t>25년 승급계획(완료시)</x:t>
  </x:si>
  <x:si>
    <x:t>10.1 창주임원사상번</x:t>
  </x:si>
  <x:si>
    <x:t>상급(2등급) : 1항목 / 중급(3등급) : 5항목</x:t>
  </x:si>
  <x:si>
    <x:t>[PFA06], [PFA01]  8급 이종진 7월이수</x:t>
  </x:si>
  <x:si>
    <x:t>25년 3월 등급</x:t>
  </x:si>
  <x:si>
    <x:t>25년 12월 등급</x:t>
  </x:si>
  <x:si>
    <x:t>24년 12월 등급</x:t>
  </x:si>
  <x:si>
    <x:t>24년9월 전입</x:t>
  </x:si>
  <x:si>
    <x:t>승급계획
(도량)</x:t>
  </x:si>
  <x:si>
    <x:t>품질보증검사담당</x:t>
  </x:si>
  <x:si>
    <x:t>85창 IMQC 현황</x:t>
  </x:si>
  <x:si>
    <x:t>정밀측정장비정비사</x:t>
  </x:si>
  <x:si>
    <x:t>정밀측정장비/저장담당</x:t>
  </x:si>
  <x:si>
    <x:t>방사선측정장비정비사</x:t>
  </x:si>
  <x:si>
    <x:t>현등급
(24년)</x:t>
  </x:si>
  <x:si>
    <x:t>극초단파측정장비정비사</x:t>
  </x:si>
  <x:si>
    <x:t>정밀측정장비/교육담당</x:t>
  </x:si>
  <x:si>
    <x:t>장비포장/저장관리담당</x:t>
  </x:si>
  <x:si>
    <x:t>25년 기술과파견</x:t>
  </x:si>
  <x:si>
    <x:t>충주지소장</x:t>
  </x:si>
  <x:si>
    <x:t>목표달성
여부</x:t>
  </x:si>
  <x:si>
    <x:t>전기/전자반</x:t>
  </x:si>
  <x:si>
    <x:t>종합 1A</x:t>
  </x:si>
  <x:si>
    <x:t>직/간접</x:t>
  </x:si>
  <x:si>
    <x:t xml:space="preserve">서경진 </x:t>
  </x:si>
  <x:si>
    <x:t>4B(추가)</x:t>
  </x:si>
  <x:si>
    <x:t>종합등급</x:t>
  </x:si>
  <x:si>
    <x:t>저장관리담당</x:t>
  </x:si>
  <x:si>
    <x:t>상사(진)</x:t>
  </x:si>
  <x:si>
    <x:t>양주지소장</x:t>
  </x:si>
  <x:si>
    <x:t>방사선관리자</x:t>
  </x:si>
  <x:si>
    <x:t>방사선반</x:t>
  </x:si>
  <x:si>
    <x:t>계급(숨김)</x:t>
  </x:si>
  <x:si>
    <x:t>7시험소</x:t>
  </x:si>
  <x:si>
    <x:t>3시험소</x:t>
  </x:si>
  <x:si>
    <x:t>최고등급</x:t>
  </x:si>
  <x:si>
    <x:t>8시험소</x:t>
  </x:si>
  <x:si>
    <x:t>예비근무자</x:t>
  </x:si>
  <x:si>
    <x:t>정비진행담당</x:t>
  </x:si>
  <x:si>
    <x:t>5시험소</x:t>
  </x:si>
  <x:si>
    <x:t>6시험소</x:t>
  </x:si>
  <x:si>
    <x:t>중급(3등급)</x:t>
  </x:si>
  <x:si>
    <x:t>목표등급</x:t>
  </x:si>
  <x:si>
    <x:t>충주지소</x:t>
  </x:si>
  <x:si>
    <x:t>시험소 정비반</x:t>
  </x:si>
  <x:si>
    <x:t>도량반(정비)</x:t>
  </x:si>
  <x:si>
    <x:t>상급(2등급)</x:t>
  </x:si>
  <x:si>
    <x:t>품질검사관</x:t>
  </x:si>
  <x:si>
    <x:t>표준기관리담당</x:t>
  </x:si>
  <x:si>
    <x:t>원사(진)</x:t>
  </x:si>
  <x:si>
    <x:t>실종사자</x:t>
  </x:si>
  <x:si>
    <x:t>강릉지소장</x:t>
  </x:si>
  <x:si>
    <x:t>군수지원담당</x:t>
  </x:si>
  <x:si>
    <x:t>전기/전자</x:t>
  </x:si>
  <x:si>
    <x:t>1시험소</x:t>
  </x:si>
  <x:si>
    <x:t>2시험소</x:t>
  </x:si>
  <x:si>
    <x:t>방사선 관리자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</x:si>
</x:sst>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3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2"/>
      <x:color rgb="ff000000"/>
    </x:font>
    <x:font>
      <x:name val="돋움"/>
      <x:sz val="12"/>
      <x:color rgb="ff000000"/>
      <x:b val="1"/>
    </x:font>
    <x:font>
      <x:name val="돋움"/>
      <x:sz val="12"/>
      <x:color rgb="ff008000"/>
      <x:b val="1"/>
    </x:font>
    <x:font>
      <x:name val="돋움"/>
      <x:sz val="12"/>
      <x:color rgb="ff0000ff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8000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hs:shadowType val="drop"/>
          <hs:shadowOffsetX val="10"/>
          <hs:shadowOffsetY val="10"/>
          <hs:shadowColor rgb="ffc0c0c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ff0000"/>
          <x:strike val="1"/>
          <hs:strikeoutType val="1"/>
          <hs:strikeoutShape val="doubleslim"/>
          <hs:strikeoutColor rgb="ffff0000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ff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3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3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5"/>
          <x:color rgb="ff000000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80808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ccc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baff1a"/>
        <x:bgColor indexed="64"/>
      </x:patternFill>
    </x:fill>
    <x:fill>
      <x:patternFill patternType="solid">
        <x:fgColor rgb="ffeabcdc"/>
        <x:bgColor indexed="64"/>
      </x:patternFill>
    </x:fill>
    <x:fill>
      <x:patternFill patternType="solid">
        <x:fgColor rgb="ff42c7f1"/>
        <x:bgColor indexed="64"/>
      </x:patternFill>
    </x:fill>
    <x:fill>
      <x:patternFill patternType="solid">
        <x:fgColor rgb="fff4deee"/>
        <x:bgColor indexed="64"/>
      </x:patternFill>
    </x:fill>
    <x:fill>
      <x:patternFill patternType="solid">
        <x:fgColor rgb="ff80ff00"/>
        <x:bgColor indexed="64"/>
      </x:patternFill>
    </x:fill>
    <x:fill>
      <x:patternFill patternType="solid">
        <x:fgColor rgb="ffebdf6f"/>
        <x:bgColor indexed="64"/>
      </x:patternFill>
    </x:fill>
    <x:fill>
      <x:patternFill patternType="solid">
        <x:fgColor rgb="ffa2bee0"/>
        <x:bgColor indexed="64"/>
      </x:patternFill>
    </x:fill>
    <x:fill>
      <x:patternFill patternType="solid">
        <x:fgColor rgb="ffcbeef0"/>
        <x:bgColor indexed="64"/>
      </x:patternFill>
    </x:fill>
  </x:fills>
  <x:borders count="6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rgb="ff000000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rgb="ff000000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rgb="ff000000"/>
      </x:left>
      <x:right>
        <x:color rgb="ff000000"/>
      </x:right>
      <x:top style="medium">
        <x:color auto="1"/>
      </x:top>
      <x:bottom>
        <x:color rgb="ff000000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rgb="ff000000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rgb="ff000000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rgb="ff000000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medium">
        <x:color auto="1"/>
      </x:right>
      <x:top>
        <x:color auto="1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double">
        <x:color auto="1"/>
      </x:top>
      <x:bottom style="hair">
        <x:color auto="1"/>
      </x:bottom>
    </x:border>
    <x:border>
      <x:left>
        <x:color auto="1"/>
      </x:left>
      <x:right style="medium">
        <x:color auto="1"/>
      </x:right>
      <x:top style="double">
        <x:color auto="1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rgb="ff000000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rgb="ff000000"/>
      </x:right>
      <x:top>
        <x:color rgb="ff000000"/>
      </x:top>
      <x:bottom>
        <x:color rgb="ff000000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rgb="ff000000"/>
      </x:right>
      <x:top style="medium">
        <x:color auto="1"/>
      </x:top>
      <x:bottom>
        <x:color rgb="ff000000"/>
      </x:bottom>
    </x:border>
    <x:border>
      <x:left>
        <x:color rgb="ff000000"/>
      </x:left>
      <x:right style="medium">
        <x:color auto="1"/>
      </x:right>
      <x:top style="medium"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92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8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8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8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3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" xfId="0" applyNumberFormat="1" applyFont="1" applyFill="1" applyBorder="1" applyAlignment="1" applyProtection="1">
      <x:alignment horizontal="general" vertical="center"/>
    </x:xf>
    <x:xf numFmtId="0" fontId="0" fillId="0" borderId="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7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5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7" borderId="1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ill="1">
      <x:alignment horizontal="general" vertical="center"/>
    </x:xf>
    <x:xf numFmtId="0" fontId="0" fillId="7" borderId="0" xfId="0" applyNumberFormat="1" applyFill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9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8" fillId="6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8" fillId="6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8" fillId="6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3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7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7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7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3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7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0" applyNumberFormat="1" applyFill="1">
      <x:alignment horizontal="general" vertical="center"/>
    </x:xf>
    <x:xf numFmtId="0" fontId="0" fillId="0" borderId="0" xfId="0" applyNumberFormat="1" applyFont="1" applyFill="1">
      <x:alignment horizontal="general" vertical="center"/>
    </x:xf>
    <x:xf numFmtId="0" fontId="18" fillId="0" borderId="5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11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0" xfId="0" applyNumberFormat="1" applyFill="1" applyAlignment="1">
          <x:alignment horizontal="center" vertical="center"/>
        </x:xf>
      </mc:Fallback>
    </mc:AlternateContent>
    <x:xf numFmtId="0" fontId="0" fillId="11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6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2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2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6" fillId="6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6" fillId="6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9" fillId="6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9" fillId="6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14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9" fillId="12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7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8" fillId="6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7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6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6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2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6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7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8" fillId="6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5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9" fillId="1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03" hs:breakNonLatinWord="breakWord" hs:breakLatinWord="keepWord" hs:condense="0" hs:textAlignment="baseLine"/>
        </x:xf>
      </mc:Choice>
      <mc:Fallback>
        <x:xf numFmtId="0" fontId="16" fillId="1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1" xfId="0" applyNumberFormat="1" applyFont="1" applyFill="1" applyBorder="1" applyAlignment="1" applyProtection="1" hs:applyExtension="1">
          <x:alignment horizontal="center" vertical="center" wrapText="1"/>
          <hs:parashape hs:lineSpacingType="percent" hs:lineSpacing="160" hs:breakNonLatinWord="breakWord" hs:breakLatinWord="keepWord" hs:condense="0" hs:textAlignment="baseLine"/>
        </x:xf>
      </mc:Choice>
      <mc:Fallback>
        <x:xf numFmtId="0" fontId="16" fillId="1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2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0" xfId="0" applyNumberFormat="1" applyFill="1">
      <x:alignment horizontal="general" vertical="center"/>
    </x:xf>
    <x:xf numFmtId="0" fontId="0" fillId="3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6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7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38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9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39" xfId="0" applyNumberFormat="1" applyFont="1" applyFill="1" applyBorder="1" applyAlignment="1" applyProtection="1">
      <x:alignment horizontal="general" vertical="center"/>
    </x:xf>
    <x:xf numFmtId="0" fontId="14" fillId="3" borderId="0" xfId="0" applyNumberFormat="1" applyFont="1" applyFill="1">
      <x:alignment horizontal="general" vertical="center"/>
    </x:xf>
    <x:xf numFmtId="0" fontId="0" fillId="13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4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3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3" borderId="1" xfId="0" applyNumberFormat="1" applyFont="1" applyFill="1" applyBorder="1" applyAlignment="1" applyProtection="1">
      <x:alignment horizontal="general" vertical="center"/>
    </x:xf>
    <x:xf numFmtId="0" fontId="0" fillId="3" borderId="4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3" borderId="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6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ill="1" applyBorder="1" applyAlignment="1">
          <x:alignment horizontal="center" vertical="center"/>
        </x:xf>
      </mc:Fallback>
    </mc:AlternateContent>
    <x:xf numFmtId="0" fontId="0" fillId="0" borderId="43" xfId="0" applyNumberFormat="1" applyFont="1" applyFill="1" applyBorder="1" applyAlignment="1" applyProtection="1">
      <x:alignment horizontal="general" vertical="center"/>
    </x:xf>
    <x:xf numFmtId="0" fontId="0" fillId="0" borderId="6" xfId="0" applyNumberFormat="1" applyFill="1" applyBorder="1">
      <x:alignment horizontal="general" vertical="center"/>
    </x:xf>
    <x:xf numFmtId="0" fontId="20" fillId="0" borderId="4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4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16" xfId="0" quotePrefix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16" xfId="0" quotePrefix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16" xfId="0" quotePrefix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16" xfId="0" quotePrefix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20" xfId="0" quotePrefix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20" xfId="0" quotePrefix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5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5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5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5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6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6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 filterMode="1">
    <x:tabColor rgb="ffffff00"/>
  </x:sheetPr>
  <x:dimension ref="A1:Y255"/>
  <x:sheetViews>
    <x:sheetView tabSelected="1" topLeftCell="A1" zoomScale="90" zoomScaleNormal="75" zoomScaleSheetLayoutView="90" workbookViewId="0">
      <x:pane xSplit="0" ySplit="20" topLeftCell="A216" activePane="bottomLeft" state="frozen"/>
      <x:selection pane="bottomLeft" activeCell="K233" activeCellId="0" sqref="K233:K233"/>
    </x:sheetView>
  </x:sheetViews>
  <x:sheetFormatPr defaultColWidth="8.88671875" defaultRowHeight="14.19999999999999928946"/>
  <x:cols>
    <x:col min="1" max="1" width="4.34765625" style="98" bestFit="1" customWidth="1"/>
    <x:col min="2" max="2" width="9.76171875" style="20" bestFit="1" customWidth="1"/>
    <x:col min="3" max="3" width="9.8984375" style="20" bestFit="1" customWidth="1"/>
    <x:col min="4" max="4" width="7.6484375" style="20" bestFit="1" customWidth="1"/>
    <x:col min="5" max="5" width="6.296875" style="20" bestFit="1" customWidth="1"/>
    <x:col min="6" max="6" width="8.890625" style="20" hidden="1" customWidth="1"/>
    <x:col min="7" max="7" width="6.296875" style="20" bestFit="1" customWidth="1"/>
    <x:col min="8" max="10" width="5.34375" style="144" bestFit="1" customWidth="1"/>
    <x:col min="11" max="11" width="5.40625" style="144" bestFit="1" customWidth="1"/>
    <x:col min="12" max="12" width="5.40625" style="144" customWidth="1"/>
    <x:col min="13" max="13" width="7.6484375" style="144" bestFit="1" customWidth="1"/>
    <x:col min="14" max="16" width="5.34375" style="144" bestFit="1" customWidth="1"/>
    <x:col min="17" max="17" width="5.40625" style="144" bestFit="1" customWidth="1"/>
    <x:col min="18" max="18" width="5.40625" style="144" customWidth="1"/>
    <x:col min="19" max="19" width="8.88671875" style="199" customWidth="1"/>
    <x:col min="20" max="25" width="8.88671875" style="314"/>
  </x:cols>
  <x:sheetData>
    <x:row r="1" spans="1:19" ht="39.75" customHeight="1">
      <x:c r="A1" s="441" t="s">
        <x:v>323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</x:row>
    <x:row r="2" spans="1:19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</x:row>
    <x:row r="3" spans="1:25" s="9" customFormat="1" ht="33.7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186</x:v>
      </x:c>
      <x:c r="F3" s="442" t="s">
        <x:v>208</x:v>
      </x:c>
      <x:c r="G3" s="445" t="s">
        <x:v>351</x:v>
      </x:c>
      <x:c r="H3" s="457" t="s">
        <x:v>336</x:v>
      </x:c>
      <x:c r="I3" s="458"/>
      <x:c r="J3" s="458"/>
      <x:c r="K3" s="459"/>
      <x:c r="L3" s="451" t="s">
        <x:v>342</x:v>
      </x:c>
      <x:c r="M3" s="451" t="s">
        <x:v>370</x:v>
      </x:c>
      <x:c r="N3" s="457" t="s">
        <x:v>324</x:v>
      </x:c>
      <x:c r="O3" s="458"/>
      <x:c r="P3" s="458"/>
      <x:c r="Q3" s="459"/>
      <x:c r="R3" s="451" t="s">
        <x:v>342</x:v>
      </x:c>
      <x:c r="S3" s="454" t="s">
        <x:v>370</x:v>
      </x:c>
      <x:c r="T3" s="37"/>
      <x:c r="U3" s="37"/>
      <x:c r="V3" s="37"/>
      <x:c r="W3" s="37"/>
      <x:c r="X3" s="37"/>
      <x:c r="Y3" s="37"/>
    </x:row>
    <x:row r="4" spans="1:19" s="9" customFormat="1" ht="33.75" customHeight="1">
      <x:c r="A4" s="449"/>
      <x:c r="B4" s="443"/>
      <x:c r="C4" s="443"/>
      <x:c r="D4" s="443"/>
      <x:c r="E4" s="443"/>
      <x:c r="F4" s="443"/>
      <x:c r="G4" s="446"/>
      <x:c r="H4" s="460"/>
      <x:c r="I4" s="461"/>
      <x:c r="J4" s="461"/>
      <x:c r="K4" s="462"/>
      <x:c r="L4" s="452"/>
      <x:c r="M4" s="452"/>
      <x:c r="N4" s="460"/>
      <x:c r="O4" s="461"/>
      <x:c r="P4" s="461"/>
      <x:c r="Q4" s="462"/>
      <x:c r="R4" s="452"/>
      <x:c r="S4" s="455"/>
    </x:row>
    <x:row r="5" spans="1:19" s="9" customFormat="1" ht="13.94999999999999928946" customHeight="1">
      <x:c r="A5" s="450"/>
      <x:c r="B5" s="444"/>
      <x:c r="C5" s="444"/>
      <x:c r="D5" s="444"/>
      <x:c r="E5" s="444"/>
      <x:c r="F5" s="444"/>
      <x:c r="G5" s="447"/>
      <x:c r="H5" s="143" t="s">
        <x:v>234</x:v>
      </x:c>
      <x:c r="I5" s="145" t="s">
        <x:v>281</x:v>
      </x:c>
      <x:c r="J5" s="145" t="s">
        <x:v>240</x:v>
      </x:c>
      <x:c r="K5" s="143" t="s">
        <x:v>231</x:v>
      </x:c>
      <x:c r="L5" s="453"/>
      <x:c r="M5" s="453"/>
      <x:c r="N5" s="132" t="s">
        <x:v>234</x:v>
      </x:c>
      <x:c r="O5" s="145" t="s">
        <x:v>281</x:v>
      </x:c>
      <x:c r="P5" s="145" t="s">
        <x:v>240</x:v>
      </x:c>
      <x:c r="Q5" s="143" t="s">
        <x:v>231</x:v>
      </x:c>
      <x:c r="R5" s="453"/>
      <x:c r="S5" s="456"/>
    </x:row>
    <x:row r="6" spans="1:19" s="43" customFormat="1" customHeight="1">
      <x:c r="A6" s="97">
        <x:v>1</x:v>
      </x:c>
      <x:c r="B6" s="38" t="s">
        <x:v>382</x:v>
      </x:c>
      <x:c r="C6" s="54" t="s">
        <x:v>252</x:v>
      </x:c>
      <x:c r="D6" s="54" t="s">
        <x:v>248</x:v>
      </x:c>
      <x:c r="E6" s="54" t="s">
        <x:v>244</x:v>
      </x:c>
      <x:c r="F6" s="38"/>
      <x:c r="G6" s="151" t="s">
        <x:v>272</x:v>
      </x:c>
      <x:c r="H6" s="171"/>
      <x:c r="I6" s="172"/>
      <x:c r="J6" s="172"/>
      <x:c r="K6" s="172"/>
      <x:c r="L6" s="208"/>
      <x:c r="M6" s="172"/>
      <x:c r="N6" s="173"/>
      <x:c r="O6" s="172"/>
      <x:c r="P6" s="172"/>
      <x:c r="Q6" s="172"/>
      <x:c r="R6" s="208"/>
      <x:c r="S6" s="174"/>
    </x:row>
    <x:row r="7" spans="1:25" customHeight="1">
      <x:c r="A7" s="73">
        <x:v>2</x:v>
      </x:c>
      <x:c r="B7" s="15" t="s">
        <x:v>382</x:v>
      </x:c>
      <x:c r="C7" s="54" t="s">
        <x:v>252</x:v>
      </x:c>
      <x:c r="D7" s="54" t="s">
        <x:v>248</x:v>
      </x:c>
      <x:c r="E7" s="54" t="s">
        <x:v>189</x:v>
      </x:c>
      <x:c r="F7" s="15"/>
      <x:c r="G7" s="151" t="s">
        <x:v>272</x:v>
      </x:c>
      <x:c r="H7" s="171"/>
      <x:c r="I7" s="175"/>
      <x:c r="J7" s="175"/>
      <x:c r="K7" s="175"/>
      <x:c r="L7" s="178"/>
      <x:c r="M7" s="175"/>
      <x:c r="N7" s="173"/>
      <x:c r="O7" s="175"/>
      <x:c r="P7" s="175"/>
      <x:c r="Q7" s="175"/>
      <x:c r="R7" s="178"/>
      <x:c r="S7" s="171"/>
      <x:c r="T7" s="4"/>
      <x:c r="U7" s="4"/>
      <x:c r="V7" s="4"/>
      <x:c r="W7" s="4"/>
      <x:c r="X7" s="4"/>
      <x:c r="Y7" s="4"/>
    </x:row>
    <x:row r="8" spans="1:25" customHeight="1">
      <x:c r="A8" s="97">
        <x:v>3</x:v>
      </x:c>
      <x:c r="B8" s="86" t="s">
        <x:v>382</x:v>
      </x:c>
      <x:c r="C8" s="193" t="s">
        <x:v>252</x:v>
      </x:c>
      <x:c r="D8" s="193" t="s">
        <x:v>248</x:v>
      </x:c>
      <x:c r="E8" s="193" t="s">
        <x:v>75</x:v>
      </x:c>
      <x:c r="F8" s="86"/>
      <x:c r="G8" s="194" t="s">
        <x:v>272</x:v>
      </x:c>
      <x:c r="H8" s="149"/>
      <x:c r="I8" s="150"/>
      <x:c r="J8" s="150"/>
      <x:c r="K8" s="150"/>
      <x:c r="L8" s="150"/>
      <x:c r="M8" s="150"/>
      <x:c r="N8" s="142"/>
      <x:c r="O8" s="150"/>
      <x:c r="P8" s="150"/>
      <x:c r="Q8" s="150"/>
      <x:c r="R8" s="150"/>
      <x:c r="S8" s="149"/>
      <x:c r="T8" s="4"/>
      <x:c r="U8" s="4"/>
      <x:c r="V8" s="4"/>
      <x:c r="W8" s="4"/>
      <x:c r="X8" s="4"/>
      <x:c r="Y8" s="4"/>
    </x:row>
    <x:row r="9" spans="1:25" customHeight="1">
      <x:c r="A9" s="73">
        <x:v>4</x:v>
      </x:c>
      <x:c r="B9" s="56" t="s">
        <x:v>382</x:v>
      </x:c>
      <x:c r="C9" s="56" t="s">
        <x:v>349</x:v>
      </x:c>
      <x:c r="D9" s="56" t="s">
        <x:v>168</x:v>
      </x:c>
      <x:c r="E9" s="56" t="s">
        <x:v>145</x:v>
      </x:c>
      <x:c r="F9" s="56"/>
      <x:c r="G9" s="156" t="s">
        <x:v>267</x:v>
      </x:c>
      <x:c r="H9" s="177"/>
      <x:c r="I9" s="178"/>
      <x:c r="J9" s="178"/>
      <x:c r="K9" s="178"/>
      <x:c r="L9" s="178"/>
      <x:c r="M9" s="178"/>
      <x:c r="N9" s="179"/>
      <x:c r="O9" s="178"/>
      <x:c r="P9" s="178"/>
      <x:c r="Q9" s="178"/>
      <x:c r="R9" s="178"/>
      <x:c r="S9" s="177"/>
      <x:c r="T9" s="4"/>
      <x:c r="U9" s="4"/>
      <x:c r="V9" s="4"/>
      <x:c r="W9" s="4"/>
      <x:c r="X9" s="4"/>
      <x:c r="Y9" s="4"/>
    </x:row>
    <x:row r="10" spans="1:25" customHeight="1">
      <x:c r="A10" s="97">
        <x:v>5</x:v>
      </x:c>
      <x:c r="B10" s="56" t="s">
        <x:v>382</x:v>
      </x:c>
      <x:c r="C10" s="56" t="s">
        <x:v>349</x:v>
      </x:c>
      <x:c r="D10" s="56" t="s">
        <x:v>248</x:v>
      </x:c>
      <x:c r="E10" s="56" t="s">
        <x:v>88</x:v>
      </x:c>
      <x:c r="F10" s="56"/>
      <x:c r="G10" s="156" t="s">
        <x:v>267</x:v>
      </x:c>
      <x:c r="H10" s="177"/>
      <x:c r="I10" s="178"/>
      <x:c r="J10" s="178"/>
      <x:c r="K10" s="178"/>
      <x:c r="L10" s="178"/>
      <x:c r="M10" s="178"/>
      <x:c r="N10" s="179"/>
      <x:c r="O10" s="178"/>
      <x:c r="P10" s="178"/>
      <x:c r="Q10" s="178"/>
      <x:c r="R10" s="178"/>
      <x:c r="S10" s="177"/>
      <x:c r="T10" s="4"/>
      <x:c r="U10" s="4"/>
      <x:c r="V10" s="4"/>
      <x:c r="W10" s="4"/>
      <x:c r="X10" s="4"/>
      <x:c r="Y10" s="4"/>
    </x:row>
    <x:row r="11" spans="1:25" customHeight="1">
      <x:c r="A11" s="73">
        <x:v>6</x:v>
      </x:c>
      <x:c r="B11" s="15" t="s">
        <x:v>382</x:v>
      </x:c>
      <x:c r="C11" s="15" t="s">
        <x:v>285</x:v>
      </x:c>
      <x:c r="D11" s="15" t="s">
        <x:v>168</x:v>
      </x:c>
      <x:c r="E11" s="15" t="s">
        <x:v>106</x:v>
      </x:c>
      <x:c r="F11" s="15"/>
      <x:c r="G11" s="152" t="s">
        <x:v>267</x:v>
      </x:c>
      <x:c r="H11" s="149"/>
      <x:c r="I11" s="150"/>
      <x:c r="J11" s="150"/>
      <x:c r="K11" s="150"/>
      <x:c r="L11" s="178"/>
      <x:c r="M11" s="211"/>
      <x:c r="N11" s="137"/>
      <x:c r="O11" s="164">
        <x:v>2</x:v>
      </x:c>
      <x:c r="P11" s="164"/>
      <x:c r="Q11" s="164"/>
      <x:c r="R11" s="178" t="s">
        <x:v>175</x:v>
      </x:c>
      <x:c r="S11" s="212" t="s">
        <x:v>158</x:v>
      </x:c>
      <x:c r="T11" s="4"/>
      <x:c r="U11" s="4"/>
      <x:c r="V11" s="4"/>
      <x:c r="W11" s="4"/>
      <x:c r="X11" s="4"/>
      <x:c r="Y11" s="4"/>
    </x:row>
    <x:row r="12" spans="1:25" customHeight="1">
      <x:c r="A12" s="97">
        <x:v>7</x:v>
      </x:c>
      <x:c r="B12" s="15" t="s">
        <x:v>382</x:v>
      </x:c>
      <x:c r="C12" s="15" t="s">
        <x:v>349</x:v>
      </x:c>
      <x:c r="D12" s="15" t="s">
        <x:v>168</x:v>
      </x:c>
      <x:c r="E12" s="15" t="s">
        <x:v>156</x:v>
      </x:c>
      <x:c r="F12" s="15"/>
      <x:c r="G12" s="152" t="s">
        <x:v>267</x:v>
      </x:c>
      <x:c r="H12" s="149"/>
      <x:c r="I12" s="150"/>
      <x:c r="J12" s="150"/>
      <x:c r="K12" s="150"/>
      <x:c r="L12" s="178"/>
      <x:c r="M12" s="146"/>
      <x:c r="N12" s="137">
        <x:v>2</x:v>
      </x:c>
      <x:c r="O12" s="164"/>
      <x:c r="P12" s="164"/>
      <x:c r="Q12" s="164"/>
      <x:c r="R12" s="178" t="s">
        <x:v>215</x:v>
      </x:c>
      <x:c r="S12" s="212" t="s">
        <x:v>225</x:v>
      </x:c>
      <x:c r="T12" s="4"/>
      <x:c r="U12" s="4"/>
      <x:c r="V12" s="4"/>
      <x:c r="W12" s="4"/>
      <x:c r="X12" s="4"/>
      <x:c r="Y12" s="4"/>
    </x:row>
    <x:row r="13" spans="1:25" customHeight="1">
      <x:c r="A13" s="73">
        <x:v>8</x:v>
      </x:c>
      <x:c r="B13" s="15" t="s">
        <x:v>382</x:v>
      </x:c>
      <x:c r="C13" s="15" t="s">
        <x:v>349</x:v>
      </x:c>
      <x:c r="D13" s="15" t="s">
        <x:v>168</x:v>
      </x:c>
      <x:c r="E13" s="15" t="s">
        <x:v>82</x:v>
      </x:c>
      <x:c r="F13" s="15"/>
      <x:c r="G13" s="152" t="s">
        <x:v>267</x:v>
      </x:c>
      <x:c r="H13" s="149"/>
      <x:c r="I13" s="150">
        <x:v>3</x:v>
      </x:c>
      <x:c r="J13" s="150">
        <x:v>1</x:v>
      </x:c>
      <x:c r="K13" s="150"/>
      <x:c r="L13" s="178" t="s">
        <x:v>188</x:v>
      </x:c>
      <x:c r="M13" s="211" t="s">
        <x:v>158</x:v>
      </x:c>
      <x:c r="N13" s="137"/>
      <x:c r="O13" s="164"/>
      <x:c r="P13" s="164"/>
      <x:c r="Q13" s="164"/>
      <x:c r="R13" s="178"/>
      <x:c r="S13" s="185"/>
      <x:c r="T13" s="4"/>
      <x:c r="U13" s="4"/>
      <x:c r="V13" s="4"/>
      <x:c r="W13" s="4"/>
      <x:c r="X13" s="4"/>
      <x:c r="Y13" s="4"/>
    </x:row>
    <x:row r="14" spans="1:25" customHeight="1">
      <x:c r="A14" s="97">
        <x:v>9</x:v>
      </x:c>
      <x:c r="B14" s="15" t="s">
        <x:v>382</x:v>
      </x:c>
      <x:c r="C14" s="15" t="s">
        <x:v>285</x:v>
      </x:c>
      <x:c r="D14" s="15" t="s">
        <x:v>168</x:v>
      </x:c>
      <x:c r="E14" s="15" t="s">
        <x:v>97</x:v>
      </x:c>
      <x:c r="F14" s="15"/>
      <x:c r="G14" s="152" t="s">
        <x:v>267</x:v>
      </x:c>
      <x:c r="H14" s="149"/>
      <x:c r="I14" s="150"/>
      <x:c r="J14" s="150"/>
      <x:c r="K14" s="150"/>
      <x:c r="L14" s="178"/>
      <x:c r="M14" s="146"/>
      <x:c r="N14" s="137"/>
      <x:c r="O14" s="164"/>
      <x:c r="P14" s="164">
        <x:v>2</x:v>
      </x:c>
      <x:c r="Q14" s="164"/>
      <x:c r="R14" s="178" t="s">
        <x:v>191</x:v>
      </x:c>
      <x:c r="S14" s="212" t="s">
        <x:v>36</x:v>
      </x:c>
      <x:c r="T14" s="4"/>
      <x:c r="U14" s="4"/>
      <x:c r="V14" s="4"/>
      <x:c r="W14" s="4"/>
      <x:c r="X14" s="4"/>
      <x:c r="Y14" s="4"/>
    </x:row>
    <x:row r="15" spans="1:25" customHeight="1">
      <x:c r="A15" s="73">
        <x:v>10</x:v>
      </x:c>
      <x:c r="B15" s="15" t="s">
        <x:v>382</x:v>
      </x:c>
      <x:c r="C15" s="15" t="s">
        <x:v>349</x:v>
      </x:c>
      <x:c r="D15" s="15" t="s">
        <x:v>168</x:v>
      </x:c>
      <x:c r="E15" s="15" t="s">
        <x:v>113</x:v>
      </x:c>
      <x:c r="F15" s="15"/>
      <x:c r="G15" s="152" t="s">
        <x:v>267</x:v>
      </x:c>
      <x:c r="H15" s="149">
        <x:v>2</x:v>
      </x:c>
      <x:c r="I15" s="150"/>
      <x:c r="J15" s="150"/>
      <x:c r="K15" s="150"/>
      <x:c r="L15" s="178" t="s">
        <x:v>162</x:v>
      </x:c>
      <x:c r="M15" s="211" t="s">
        <x:v>225</x:v>
      </x:c>
      <x:c r="N15" s="137"/>
      <x:c r="O15" s="164"/>
      <x:c r="P15" s="164"/>
      <x:c r="Q15" s="164"/>
      <x:c r="R15" s="178"/>
      <x:c r="S15" s="185"/>
      <x:c r="T15" s="4"/>
      <x:c r="U15" s="4"/>
      <x:c r="V15" s="4"/>
      <x:c r="W15" s="4"/>
      <x:c r="X15" s="4"/>
      <x:c r="Y15" s="4"/>
    </x:row>
    <x:row r="16" spans="1:19" s="197" customFormat="1" customHeight="1">
      <x:c r="A16" s="97">
        <x:v>11</x:v>
      </x:c>
      <x:c r="B16" s="16" t="s">
        <x:v>382</x:v>
      </x:c>
      <x:c r="C16" s="16" t="s">
        <x:v>285</x:v>
      </x:c>
      <x:c r="D16" s="16" t="s">
        <x:v>168</x:v>
      </x:c>
      <x:c r="E16" s="16" t="s">
        <x:v>185</x:v>
      </x:c>
      <x:c r="F16" s="16"/>
      <x:c r="G16" s="153" t="s">
        <x:v>267</x:v>
      </x:c>
      <x:c r="H16" s="149"/>
      <x:c r="I16" s="150"/>
      <x:c r="J16" s="150"/>
      <x:c r="K16" s="150"/>
      <x:c r="L16" s="178"/>
      <x:c r="M16" s="146"/>
      <x:c r="N16" s="137">
        <x:v>4</x:v>
      </x:c>
      <x:c r="O16" s="164"/>
      <x:c r="P16" s="164"/>
      <x:c r="Q16" s="164"/>
      <x:c r="R16" s="178" t="s">
        <x:v>158</x:v>
      </x:c>
      <x:c r="S16" s="212" t="s">
        <x:v>162</x:v>
      </x:c>
    </x:row>
    <x:row r="17" spans="1:25" customHeight="1">
      <x:c r="A17" s="73">
        <x:v>12</x:v>
      </x:c>
      <x:c r="B17" s="15" t="s">
        <x:v>382</x:v>
      </x:c>
      <x:c r="C17" s="16" t="s">
        <x:v>359</x:v>
      </x:c>
      <x:c r="D17" s="16" t="s">
        <x:v>168</x:v>
      </x:c>
      <x:c r="E17" s="16" t="s">
        <x:v>150</x:v>
      </x:c>
      <x:c r="F17" s="15"/>
      <x:c r="G17" s="153" t="s">
        <x:v>267</x:v>
      </x:c>
      <x:c r="H17" s="149"/>
      <x:c r="I17" s="150"/>
      <x:c r="J17" s="150"/>
      <x:c r="K17" s="150"/>
      <x:c r="L17" s="178"/>
      <x:c r="M17" s="146"/>
      <x:c r="N17" s="137">
        <x:v>3</x:v>
      </x:c>
      <x:c r="O17" s="164"/>
      <x:c r="P17" s="164"/>
      <x:c r="Q17" s="164"/>
      <x:c r="R17" s="178" t="s">
        <x:v>158</x:v>
      </x:c>
      <x:c r="S17" s="212" t="s">
        <x:v>225</x:v>
      </x:c>
      <x:c r="T17" s="4"/>
      <x:c r="U17" s="4"/>
      <x:c r="V17" s="4"/>
      <x:c r="W17" s="4"/>
      <x:c r="X17" s="4"/>
      <x:c r="Y17" s="4"/>
    </x:row>
    <x:row r="18" spans="1:19" s="197" customFormat="1" customHeight="1">
      <x:c r="A18" s="97">
        <x:v>13</x:v>
      </x:c>
      <x:c r="B18" s="16" t="s">
        <x:v>382</x:v>
      </x:c>
      <x:c r="C18" s="16" t="s">
        <x:v>285</x:v>
      </x:c>
      <x:c r="D18" s="16" t="s">
        <x:v>273</x:v>
      </x:c>
      <x:c r="E18" s="16" t="s">
        <x:v>161</x:v>
      </x:c>
      <x:c r="F18" s="16"/>
      <x:c r="G18" s="153" t="s">
        <x:v>267</x:v>
      </x:c>
      <x:c r="H18" s="149"/>
      <x:c r="I18" s="150"/>
      <x:c r="J18" s="150"/>
      <x:c r="K18" s="150"/>
      <x:c r="L18" s="178"/>
      <x:c r="M18" s="146"/>
      <x:c r="N18" s="137"/>
      <x:c r="O18" s="164"/>
      <x:c r="P18" s="164"/>
      <x:c r="Q18" s="164">
        <x:v>6</x:v>
      </x:c>
      <x:c r="R18" s="178" t="s">
        <x:v>238</x:v>
      </x:c>
      <x:c r="S18" s="212" t="s">
        <x:v>230</x:v>
      </x:c>
    </x:row>
    <x:row r="19" spans="1:25" customHeight="1">
      <x:c r="A19" s="73">
        <x:v>14</x:v>
      </x:c>
      <x:c r="B19" s="16" t="s">
        <x:v>382</x:v>
      </x:c>
      <x:c r="C19" s="15" t="s">
        <x:v>285</x:v>
      </x:c>
      <x:c r="D19" s="15" t="s">
        <x:v>273</x:v>
      </x:c>
      <x:c r="E19" s="15" t="s">
        <x:v>154</x:v>
      </x:c>
      <x:c r="F19" s="15"/>
      <x:c r="G19" s="152" t="s">
        <x:v>267</x:v>
      </x:c>
      <x:c r="H19" s="149">
        <x:v>1</x:v>
      </x:c>
      <x:c r="I19" s="150"/>
      <x:c r="J19" s="150"/>
      <x:c r="K19" s="150"/>
      <x:c r="L19" s="178" t="s">
        <x:v>162</x:v>
      </x:c>
      <x:c r="M19" s="211" t="s">
        <x:v>225</x:v>
      </x:c>
      <x:c r="N19" s="137"/>
      <x:c r="O19" s="164"/>
      <x:c r="P19" s="164"/>
      <x:c r="Q19" s="164">
        <x:v>2</x:v>
      </x:c>
      <x:c r="R19" s="178" t="s">
        <x:v>238</x:v>
      </x:c>
      <x:c r="S19" s="212" t="s">
        <x:v>238</x:v>
      </x:c>
      <x:c r="T19" s="4"/>
      <x:c r="U19" s="4"/>
      <x:c r="V19" s="4"/>
      <x:c r="W19" s="4"/>
      <x:c r="X19" s="4"/>
      <x:c r="Y19" s="4"/>
    </x:row>
    <x:row r="20" spans="1:19" s="5" customFormat="1" customHeight="1">
      <x:c r="A20" s="97">
        <x:v>15</x:v>
      </x:c>
      <x:c r="B20" s="86" t="s">
        <x:v>382</x:v>
      </x:c>
      <x:c r="C20" s="86" t="s">
        <x:v>349</x:v>
      </x:c>
      <x:c r="D20" s="86" t="s">
        <x:v>273</x:v>
      </x:c>
      <x:c r="E20" s="86" t="s">
        <x:v>103</x:v>
      </x:c>
      <x:c r="F20" s="86"/>
      <x:c r="G20" s="160" t="s">
        <x:v>267</x:v>
      </x:c>
      <x:c r="H20" s="149"/>
      <x:c r="I20" s="150"/>
      <x:c r="J20" s="150"/>
      <x:c r="K20" s="150"/>
      <x:c r="L20" s="150"/>
      <x:c r="M20" s="214"/>
      <x:c r="N20" s="142">
        <x:v>5</x:v>
      </x:c>
      <x:c r="O20" s="150"/>
      <x:c r="P20" s="150"/>
      <x:c r="Q20" s="150"/>
      <x:c r="R20" s="150" t="s">
        <x:v>158</x:v>
      </x:c>
      <x:c r="S20" s="213" t="s">
        <x:v>225</x:v>
      </x:c>
    </x:row>
    <x:row r="21" spans="1:25" customHeight="1">
      <x:c r="A21" s="73">
        <x:v>16</x:v>
      </x:c>
      <x:c r="B21" s="16" t="s">
        <x:v>382</x:v>
      </x:c>
      <x:c r="C21" s="16" t="s">
        <x:v>349</x:v>
      </x:c>
      <x:c r="D21" s="16" t="s">
        <x:v>273</x:v>
      </x:c>
      <x:c r="E21" s="16" t="s">
        <x:v>139</x:v>
      </x:c>
      <x:c r="F21" s="16"/>
      <x:c r="G21" s="153" t="s">
        <x:v>267</x:v>
      </x:c>
      <x:c r="H21" s="149"/>
      <x:c r="I21" s="150"/>
      <x:c r="J21" s="150"/>
      <x:c r="K21" s="150"/>
      <x:c r="L21" s="178"/>
      <x:c r="M21" s="146"/>
      <x:c r="N21" s="137">
        <x:v>2</x:v>
      </x:c>
      <x:c r="O21" s="164">
        <x:v>1</x:v>
      </x:c>
      <x:c r="P21" s="164"/>
      <x:c r="Q21" s="164"/>
      <x:c r="R21" s="178" t="s">
        <x:v>223</x:v>
      </x:c>
      <x:c r="S21" s="212" t="s">
        <x:v>215</x:v>
      </x:c>
      <x:c r="T21" s="4"/>
      <x:c r="U21" s="4"/>
      <x:c r="V21" s="4"/>
      <x:c r="W21" s="4"/>
      <x:c r="X21" s="4"/>
      <x:c r="Y21" s="4"/>
    </x:row>
    <x:row r="22" spans="1:25" customHeight="1">
      <x:c r="A22" s="97">
        <x:v>17</x:v>
      </x:c>
      <x:c r="B22" s="15" t="s">
        <x:v>382</x:v>
      </x:c>
      <x:c r="C22" s="15" t="s">
        <x:v>285</x:v>
      </x:c>
      <x:c r="D22" s="15" t="s">
        <x:v>273</x:v>
      </x:c>
      <x:c r="E22" s="15" t="s">
        <x:v>193</x:v>
      </x:c>
      <x:c r="F22" s="15"/>
      <x:c r="G22" s="152" t="s">
        <x:v>267</x:v>
      </x:c>
      <x:c r="H22" s="149">
        <x:v>1</x:v>
      </x:c>
      <x:c r="I22" s="150">
        <x:v>2</x:v>
      </x:c>
      <x:c r="J22" s="150"/>
      <x:c r="K22" s="150"/>
      <x:c r="L22" s="178" t="s">
        <x:v>175</x:v>
      </x:c>
      <x:c r="M22" s="211" t="s">
        <x:v>215</x:v>
      </x:c>
      <x:c r="N22" s="137"/>
      <x:c r="O22" s="164"/>
      <x:c r="P22" s="164"/>
      <x:c r="Q22" s="164">
        <x:v>1</x:v>
      </x:c>
      <x:c r="R22" s="178" t="s">
        <x:v>238</x:v>
      </x:c>
      <x:c r="S22" s="212" t="s">
        <x:v>238</x:v>
      </x:c>
      <x:c r="T22" s="4"/>
      <x:c r="U22" s="4"/>
      <x:c r="V22" s="4"/>
      <x:c r="W22" s="4"/>
      <x:c r="X22" s="4"/>
      <x:c r="Y22" s="4"/>
    </x:row>
    <x:row r="23" spans="1:19" s="198" customFormat="1" customHeight="1">
      <x:c r="A23" s="73">
        <x:v>18</x:v>
      </x:c>
      <x:c r="B23" s="86" t="s">
        <x:v>382</x:v>
      </x:c>
      <x:c r="C23" s="86" t="s">
        <x:v>349</x:v>
      </x:c>
      <x:c r="D23" s="86" t="s">
        <x:v>210</x:v>
      </x:c>
      <x:c r="E23" s="86" t="s">
        <x:v>200</x:v>
      </x:c>
      <x:c r="F23" s="86"/>
      <x:c r="G23" s="160" t="s">
        <x:v>267</x:v>
      </x:c>
      <x:c r="H23" s="149"/>
      <x:c r="I23" s="150"/>
      <x:c r="J23" s="150"/>
      <x:c r="K23" s="150"/>
      <x:c r="L23" s="178"/>
      <x:c r="M23" s="150"/>
      <x:c r="N23" s="142"/>
      <x:c r="O23" s="150">
        <x:v>3</x:v>
      </x:c>
      <x:c r="P23" s="150">
        <x:v>1</x:v>
      </x:c>
      <x:c r="Q23" s="150"/>
      <x:c r="R23" s="178" t="s">
        <x:v>188</x:v>
      </x:c>
      <x:c r="S23" s="213" t="s">
        <x:v>158</x:v>
      </x:c>
    </x:row>
    <x:row r="24" spans="1:19" s="198" customFormat="1" customHeight="1">
      <x:c r="A24" s="97">
        <x:v>19</x:v>
      </x:c>
      <x:c r="B24" s="86" t="s">
        <x:v>382</x:v>
      </x:c>
      <x:c r="C24" s="86" t="s">
        <x:v>285</x:v>
      </x:c>
      <x:c r="D24" s="86" t="s">
        <x:v>210</x:v>
      </x:c>
      <x:c r="E24" s="86" t="s">
        <x:v>293</x:v>
      </x:c>
      <x:c r="F24" s="86"/>
      <x:c r="G24" s="160" t="s">
        <x:v>267</x:v>
      </x:c>
      <x:c r="H24" s="149"/>
      <x:c r="I24" s="150"/>
      <x:c r="J24" s="150">
        <x:v>6</x:v>
      </x:c>
      <x:c r="K24" s="150"/>
      <x:c r="L24" s="178" t="s">
        <x:v>230</x:v>
      </x:c>
      <x:c r="M24" s="214" t="s">
        <x:v>36</x:v>
      </x:c>
      <x:c r="N24" s="142"/>
      <x:c r="O24" s="150"/>
      <x:c r="P24" s="150"/>
      <x:c r="Q24" s="150"/>
      <x:c r="R24" s="178"/>
      <x:c r="S24" s="149"/>
    </x:row>
    <x:row r="25" spans="1:25" customHeight="1">
      <x:c r="A25" s="73">
        <x:v>20</x:v>
      </x:c>
      <x:c r="B25" s="16" t="s">
        <x:v>382</x:v>
      </x:c>
      <x:c r="C25" s="16" t="s">
        <x:v>349</x:v>
      </x:c>
      <x:c r="D25" s="16" t="s">
        <x:v>210</x:v>
      </x:c>
      <x:c r="E25" s="16" t="s">
        <x:v>107</x:v>
      </x:c>
      <x:c r="F25" s="16"/>
      <x:c r="G25" s="153" t="s">
        <x:v>267</x:v>
      </x:c>
      <x:c r="H25" s="149"/>
      <x:c r="I25" s="150"/>
      <x:c r="J25" s="150"/>
      <x:c r="K25" s="150"/>
      <x:c r="L25" s="178"/>
      <x:c r="M25" s="146"/>
      <x:c r="N25" s="137"/>
      <x:c r="O25" s="164"/>
      <x:c r="P25" s="164">
        <x:v>6</x:v>
      </x:c>
      <x:c r="Q25" s="164"/>
      <x:c r="R25" s="178" t="s">
        <x:v>230</x:v>
      </x:c>
      <x:c r="S25" s="212" t="s">
        <x:v>36</x:v>
      </x:c>
      <x:c r="T25" s="4"/>
      <x:c r="U25" s="4"/>
      <x:c r="V25" s="4"/>
      <x:c r="W25" s="4"/>
      <x:c r="X25" s="4"/>
      <x:c r="Y25" s="4"/>
    </x:row>
    <x:row r="26" spans="1:19" s="1" customFormat="1" customHeight="1">
      <x:c r="A26" s="97">
        <x:v>21</x:v>
      </x:c>
      <x:c r="B26" s="78" t="s">
        <x:v>382</x:v>
      </x:c>
      <x:c r="C26" s="78" t="s">
        <x:v>349</x:v>
      </x:c>
      <x:c r="D26" s="78" t="s">
        <x:v>210</x:v>
      </x:c>
      <x:c r="E26" s="78" t="s">
        <x:v>41</x:v>
      </x:c>
      <x:c r="F26" s="78"/>
      <x:c r="G26" s="154" t="s">
        <x:v>267</x:v>
      </x:c>
      <x:c r="H26" s="176"/>
      <x:c r="I26" s="164"/>
      <x:c r="J26" s="164"/>
      <x:c r="K26" s="164"/>
      <x:c r="L26" s="164"/>
      <x:c r="M26" s="164"/>
      <x:c r="N26" s="137"/>
      <x:c r="O26" s="164"/>
      <x:c r="P26" s="164">
        <x:v>4</x:v>
      </x:c>
      <x:c r="Q26" s="164">
        <x:v>10</x:v>
      </x:c>
      <x:c r="R26" s="164" t="s">
        <x:v>238</x:v>
      </x:c>
      <x:c r="S26" s="386" t="s">
        <x:v>191</x:v>
      </x:c>
    </x:row>
    <x:row r="27" spans="1:19" s="198" customFormat="1" customHeight="1">
      <x:c r="A27" s="73">
        <x:v>22</x:v>
      </x:c>
      <x:c r="B27" s="86" t="s">
        <x:v>382</x:v>
      </x:c>
      <x:c r="C27" s="193" t="s">
        <x:v>280</x:v>
      </x:c>
      <x:c r="D27" s="193" t="s">
        <x:v>179</x:v>
      </x:c>
      <x:c r="E27" s="193" t="s">
        <x:v>258</x:v>
      </x:c>
      <x:c r="F27" s="86"/>
      <x:c r="G27" s="194" t="s">
        <x:v>272</x:v>
      </x:c>
      <x:c r="H27" s="149"/>
      <x:c r="I27" s="150"/>
      <x:c r="J27" s="150"/>
      <x:c r="K27" s="150"/>
      <x:c r="L27" s="178"/>
      <x:c r="M27" s="150"/>
      <x:c r="N27" s="142"/>
      <x:c r="O27" s="150"/>
      <x:c r="P27" s="150"/>
      <x:c r="Q27" s="150"/>
      <x:c r="R27" s="178"/>
      <x:c r="S27" s="149"/>
    </x:row>
    <x:row r="28" spans="1:25" customHeight="1">
      <x:c r="A28" s="97">
        <x:v>23</x:v>
      </x:c>
      <x:c r="B28" s="15" t="s">
        <x:v>382</x:v>
      </x:c>
      <x:c r="C28" s="54" t="s">
        <x:v>280</x:v>
      </x:c>
      <x:c r="D28" s="54" t="s">
        <x:v>217</x:v>
      </x:c>
      <x:c r="E28" s="54" t="s">
        <x:v>256</x:v>
      </x:c>
      <x:c r="F28" s="15"/>
      <x:c r="G28" s="151" t="s">
        <x:v>272</x:v>
      </x:c>
      <x:c r="H28" s="171"/>
      <x:c r="I28" s="175"/>
      <x:c r="J28" s="175"/>
      <x:c r="K28" s="175"/>
      <x:c r="L28" s="178"/>
      <x:c r="M28" s="175"/>
      <x:c r="N28" s="173"/>
      <x:c r="O28" s="175"/>
      <x:c r="P28" s="175"/>
      <x:c r="Q28" s="175"/>
      <x:c r="R28" s="178"/>
      <x:c r="S28" s="171"/>
      <x:c r="T28" s="4"/>
      <x:c r="U28" s="4"/>
      <x:c r="V28" s="4"/>
      <x:c r="W28" s="4"/>
      <x:c r="X28" s="4"/>
      <x:c r="Y28" s="4"/>
    </x:row>
    <x:row r="29" spans="1:25" customHeight="1">
      <x:c r="A29" s="73">
        <x:v>24</x:v>
      </x:c>
      <x:c r="B29" s="15" t="s">
        <x:v>382</x:v>
      </x:c>
      <x:c r="C29" s="54" t="s">
        <x:v>262</x:v>
      </x:c>
      <x:c r="D29" s="54" t="s">
        <x:v>217</x:v>
      </x:c>
      <x:c r="E29" s="54" t="s">
        <x:v>236</x:v>
      </x:c>
      <x:c r="F29" s="15"/>
      <x:c r="G29" s="151" t="s">
        <x:v>272</x:v>
      </x:c>
      <x:c r="H29" s="171"/>
      <x:c r="I29" s="175"/>
      <x:c r="J29" s="175"/>
      <x:c r="K29" s="175"/>
      <x:c r="L29" s="178"/>
      <x:c r="M29" s="175"/>
      <x:c r="N29" s="173"/>
      <x:c r="O29" s="175"/>
      <x:c r="P29" s="175"/>
      <x:c r="Q29" s="175"/>
      <x:c r="R29" s="178"/>
      <x:c r="S29" s="171"/>
      <x:c r="T29" s="4"/>
      <x:c r="U29" s="4"/>
      <x:c r="V29" s="4"/>
      <x:c r="W29" s="4"/>
      <x:c r="X29" s="4"/>
      <x:c r="Y29" s="4"/>
    </x:row>
    <x:row r="30" spans="1:25" customHeight="1">
      <x:c r="A30" s="97">
        <x:v>25</x:v>
      </x:c>
      <x:c r="B30" s="15" t="s">
        <x:v>382</x:v>
      </x:c>
      <x:c r="C30" s="54" t="s">
        <x:v>283</x:v>
      </x:c>
      <x:c r="D30" s="54" t="s">
        <x:v>217</x:v>
      </x:c>
      <x:c r="E30" s="54" t="s">
        <x:v>155</x:v>
      </x:c>
      <x:c r="F30" s="15"/>
      <x:c r="G30" s="151" t="s">
        <x:v>272</x:v>
      </x:c>
      <x:c r="H30" s="171"/>
      <x:c r="I30" s="175"/>
      <x:c r="J30" s="175"/>
      <x:c r="K30" s="175"/>
      <x:c r="L30" s="178"/>
      <x:c r="M30" s="175"/>
      <x:c r="N30" s="173"/>
      <x:c r="O30" s="175"/>
      <x:c r="P30" s="175"/>
      <x:c r="Q30" s="175"/>
      <x:c r="R30" s="178"/>
      <x:c r="S30" s="171"/>
      <x:c r="T30" s="4"/>
      <x:c r="U30" s="4"/>
      <x:c r="V30" s="4"/>
      <x:c r="W30" s="4"/>
      <x:c r="X30" s="4"/>
      <x:c r="Y30" s="4"/>
    </x:row>
    <x:row r="31" spans="1:25" customHeight="1">
      <x:c r="A31" s="73">
        <x:v>26</x:v>
      </x:c>
      <x:c r="B31" s="15" t="s">
        <x:v>382</x:v>
      </x:c>
      <x:c r="C31" s="54" t="s">
        <x:v>252</x:v>
      </x:c>
      <x:c r="D31" s="54" t="s">
        <x:v>171</x:v>
      </x:c>
      <x:c r="E31" s="54" t="s">
        <x:v>288</x:v>
      </x:c>
      <x:c r="F31" s="15"/>
      <x:c r="G31" s="151" t="s">
        <x:v>272</x:v>
      </x:c>
      <x:c r="H31" s="171"/>
      <x:c r="I31" s="175"/>
      <x:c r="J31" s="175"/>
      <x:c r="K31" s="175"/>
      <x:c r="L31" s="178"/>
      <x:c r="M31" s="175"/>
      <x:c r="N31" s="173"/>
      <x:c r="O31" s="175"/>
      <x:c r="P31" s="175"/>
      <x:c r="Q31" s="175"/>
      <x:c r="R31" s="178"/>
      <x:c r="S31" s="171"/>
      <x:c r="T31" s="4"/>
      <x:c r="U31" s="4"/>
      <x:c r="V31" s="4"/>
      <x:c r="W31" s="4"/>
      <x:c r="X31" s="4"/>
      <x:c r="Y31" s="4"/>
    </x:row>
    <x:row r="32" spans="1:25" customHeight="1">
      <x:c r="A32" s="97">
        <x:v>27</x:v>
      </x:c>
      <x:c r="B32" s="15" t="s">
        <x:v>382</x:v>
      </x:c>
      <x:c r="C32" s="54" t="s">
        <x:v>283</x:v>
      </x:c>
      <x:c r="D32" s="54" t="s">
        <x:v>171</x:v>
      </x:c>
      <x:c r="E32" s="54" t="s">
        <x:v>232</x:v>
      </x:c>
      <x:c r="F32" s="15"/>
      <x:c r="G32" s="151" t="s">
        <x:v>272</x:v>
      </x:c>
      <x:c r="H32" s="171"/>
      <x:c r="I32" s="175"/>
      <x:c r="J32" s="175"/>
      <x:c r="K32" s="175"/>
      <x:c r="L32" s="178"/>
      <x:c r="M32" s="175"/>
      <x:c r="N32" s="173"/>
      <x:c r="O32" s="175"/>
      <x:c r="P32" s="175"/>
      <x:c r="Q32" s="175"/>
      <x:c r="R32" s="178"/>
      <x:c r="S32" s="171"/>
      <x:c r="T32" s="4"/>
      <x:c r="U32" s="4"/>
      <x:c r="V32" s="4"/>
      <x:c r="W32" s="4"/>
      <x:c r="X32" s="4"/>
      <x:c r="Y32" s="4"/>
    </x:row>
    <x:row r="33" spans="1:19" s="197" customFormat="1" customHeight="1">
      <x:c r="A33" s="73">
        <x:v>28</x:v>
      </x:c>
      <x:c r="B33" s="16" t="s">
        <x:v>382</x:v>
      </x:c>
      <x:c r="C33" s="16" t="s">
        <x:v>285</x:v>
      </x:c>
      <x:c r="D33" s="16" t="s">
        <x:v>179</x:v>
      </x:c>
      <x:c r="E33" s="16" t="s">
        <x:v>60</x:v>
      </x:c>
      <x:c r="F33" s="16"/>
      <x:c r="G33" s="153" t="s">
        <x:v>267</x:v>
      </x:c>
      <x:c r="H33" s="149">
        <x:v>1</x:v>
      </x:c>
      <x:c r="I33" s="150">
        <x:v>1</x:v>
      </x:c>
      <x:c r="J33" s="150"/>
      <x:c r="K33" s="150"/>
      <x:c r="L33" s="178" t="s">
        <x:v>223</x:v>
      </x:c>
      <x:c r="M33" s="211" t="s">
        <x:v>215</x:v>
      </x:c>
      <x:c r="N33" s="137"/>
      <x:c r="O33" s="164"/>
      <x:c r="P33" s="164"/>
      <x:c r="Q33" s="164"/>
      <x:c r="R33" s="178"/>
      <x:c r="S33" s="185"/>
    </x:row>
    <x:row r="34" spans="1:25" customHeight="1">
      <x:c r="A34" s="97">
        <x:v>29</x:v>
      </x:c>
      <x:c r="B34" s="78" t="s">
        <x:v>382</x:v>
      </x:c>
      <x:c r="C34" s="78" t="s">
        <x:v>349</x:v>
      </x:c>
      <x:c r="D34" s="78" t="s">
        <x:v>179</x:v>
      </x:c>
      <x:c r="E34" s="78" t="s">
        <x:v>127</x:v>
      </x:c>
      <x:c r="F34" s="78"/>
      <x:c r="G34" s="154" t="s">
        <x:v>267</x:v>
      </x:c>
      <x:c r="H34" s="176">
        <x:v>2</x:v>
      </x:c>
      <x:c r="I34" s="164"/>
      <x:c r="J34" s="164"/>
      <x:c r="K34" s="164"/>
      <x:c r="L34" s="178" t="s">
        <x:v>215</x:v>
      </x:c>
      <x:c r="M34" s="215" t="s">
        <x:v>225</x:v>
      </x:c>
      <x:c r="N34" s="137"/>
      <x:c r="O34" s="164"/>
      <x:c r="P34" s="164"/>
      <x:c r="Q34" s="164"/>
      <x:c r="R34" s="178"/>
      <x:c r="S34" s="176"/>
      <x:c r="T34" s="4"/>
      <x:c r="U34" s="4"/>
      <x:c r="V34" s="4"/>
      <x:c r="W34" s="4"/>
      <x:c r="X34" s="4"/>
      <x:c r="Y34" s="4"/>
    </x:row>
    <x:row r="35" spans="1:25" customHeight="1">
      <x:c r="A35" s="73">
        <x:v>30</x:v>
      </x:c>
      <x:c r="B35" s="15" t="s">
        <x:v>382</x:v>
      </x:c>
      <x:c r="C35" s="16" t="s">
        <x:v>359</x:v>
      </x:c>
      <x:c r="D35" s="15" t="s">
        <x:v>217</x:v>
      </x:c>
      <x:c r="E35" s="15" t="s">
        <x:v>174</x:v>
      </x:c>
      <x:c r="F35" s="15"/>
      <x:c r="G35" s="152" t="s">
        <x:v>267</x:v>
      </x:c>
      <x:c r="H35" s="149"/>
      <x:c r="I35" s="150">
        <x:v>2</x:v>
      </x:c>
      <x:c r="J35" s="150"/>
      <x:c r="K35" s="150"/>
      <x:c r="L35" s="178" t="s">
        <x:v>175</x:v>
      </x:c>
      <x:c r="M35" s="211" t="s">
        <x:v>158</x:v>
      </x:c>
      <x:c r="N35" s="137"/>
      <x:c r="O35" s="164"/>
      <x:c r="P35" s="164"/>
      <x:c r="Q35" s="164"/>
      <x:c r="R35" s="178"/>
      <x:c r="S35" s="185"/>
      <x:c r="T35" s="4"/>
      <x:c r="U35" s="4"/>
      <x:c r="V35" s="4"/>
      <x:c r="W35" s="4"/>
      <x:c r="X35" s="4"/>
      <x:c r="Y35" s="4"/>
    </x:row>
    <x:row r="36" spans="1:19" s="197" customFormat="1" customHeight="1">
      <x:c r="A36" s="97">
        <x:v>31</x:v>
      </x:c>
      <x:c r="B36" s="16" t="s">
        <x:v>382</x:v>
      </x:c>
      <x:c r="C36" s="16" t="s">
        <x:v>349</x:v>
      </x:c>
      <x:c r="D36" s="16" t="s">
        <x:v>217</x:v>
      </x:c>
      <x:c r="E36" s="16" t="s">
        <x:v>138</x:v>
      </x:c>
      <x:c r="F36" s="16"/>
      <x:c r="G36" s="153" t="s">
        <x:v>267</x:v>
      </x:c>
      <x:c r="H36" s="149"/>
      <x:c r="I36" s="150"/>
      <x:c r="J36" s="150"/>
      <x:c r="K36" s="150"/>
      <x:c r="L36" s="178"/>
      <x:c r="M36" s="146"/>
      <x:c r="N36" s="137">
        <x:v>3</x:v>
      </x:c>
      <x:c r="O36" s="164"/>
      <x:c r="P36" s="164"/>
      <x:c r="Q36" s="164"/>
      <x:c r="R36" s="178" t="s">
        <x:v>158</x:v>
      </x:c>
      <x:c r="S36" s="212" t="s">
        <x:v>225</x:v>
      </x:c>
    </x:row>
    <x:row r="37" spans="1:19" s="197" customFormat="1" customHeight="1">
      <x:c r="A37" s="73">
        <x:v>32</x:v>
      </x:c>
      <x:c r="B37" s="16" t="s">
        <x:v>382</x:v>
      </x:c>
      <x:c r="C37" s="16" t="s">
        <x:v>285</x:v>
      </x:c>
      <x:c r="D37" s="16" t="s">
        <x:v>217</x:v>
      </x:c>
      <x:c r="E37" s="16" t="s">
        <x:v>131</x:v>
      </x:c>
      <x:c r="F37" s="16"/>
      <x:c r="G37" s="153" t="s">
        <x:v>267</x:v>
      </x:c>
      <x:c r="H37" s="149"/>
      <x:c r="I37" s="150"/>
      <x:c r="J37" s="150"/>
      <x:c r="K37" s="150"/>
      <x:c r="L37" s="178"/>
      <x:c r="M37" s="146"/>
      <x:c r="N37" s="137"/>
      <x:c r="O37" s="164">
        <x:v>1</x:v>
      </x:c>
      <x:c r="P37" s="164">
        <x:v>1</x:v>
      </x:c>
      <x:c r="Q37" s="164">
        <x:v>2</x:v>
      </x:c>
      <x:c r="R37" s="178" t="s">
        <x:v>188</x:v>
      </x:c>
      <x:c r="S37" s="212" t="s">
        <x:v>175</x:v>
      </x:c>
    </x:row>
    <x:row r="38" spans="1:25" customHeight="1">
      <x:c r="A38" s="97">
        <x:v>33</x:v>
      </x:c>
      <x:c r="B38" s="15" t="s">
        <x:v>382</x:v>
      </x:c>
      <x:c r="C38" s="15" t="s">
        <x:v>349</x:v>
      </x:c>
      <x:c r="D38" s="15" t="s">
        <x:v>217</x:v>
      </x:c>
      <x:c r="E38" s="15" t="s">
        <x:v>62</x:v>
      </x:c>
      <x:c r="F38" s="15"/>
      <x:c r="G38" s="152" t="s">
        <x:v>267</x:v>
      </x:c>
      <x:c r="H38" s="149"/>
      <x:c r="I38" s="150"/>
      <x:c r="J38" s="150"/>
      <x:c r="K38" s="150"/>
      <x:c r="L38" s="178"/>
      <x:c r="M38" s="146"/>
      <x:c r="N38" s="137">
        <x:v>3</x:v>
      </x:c>
      <x:c r="O38" s="164"/>
      <x:c r="P38" s="164"/>
      <x:c r="Q38" s="164"/>
      <x:c r="R38" s="178" t="s">
        <x:v>158</x:v>
      </x:c>
      <x:c r="S38" s="212" t="s">
        <x:v>225</x:v>
      </x:c>
      <x:c r="T38" s="4"/>
      <x:c r="U38" s="4"/>
      <x:c r="V38" s="4"/>
      <x:c r="W38" s="4"/>
      <x:c r="X38" s="4"/>
      <x:c r="Y38" s="4"/>
    </x:row>
    <x:row r="39" spans="1:25" customHeight="1">
      <x:c r="A39" s="73">
        <x:v>34</x:v>
      </x:c>
      <x:c r="B39" s="104" t="s">
        <x:v>382</x:v>
      </x:c>
      <x:c r="C39" s="104" t="s">
        <x:v>349</x:v>
      </x:c>
      <x:c r="D39" s="104" t="s">
        <x:v>217</x:v>
      </x:c>
      <x:c r="E39" s="104" t="s">
        <x:v>187</x:v>
      </x:c>
      <x:c r="F39" s="104"/>
      <x:c r="G39" s="161" t="s">
        <x:v>267</x:v>
      </x:c>
      <x:c r="H39" s="184"/>
      <x:c r="I39" s="148"/>
      <x:c r="J39" s="148"/>
      <x:c r="K39" s="148"/>
      <x:c r="L39" s="148"/>
      <x:c r="M39" s="148"/>
      <x:c r="N39" s="138"/>
      <x:c r="O39" s="148"/>
      <x:c r="P39" s="148"/>
      <x:c r="Q39" s="148"/>
      <x:c r="R39" s="148"/>
      <x:c r="S39" s="184"/>
      <x:c r="T39" s="4"/>
      <x:c r="U39" s="4"/>
      <x:c r="V39" s="4"/>
      <x:c r="W39" s="4"/>
      <x:c r="X39" s="4"/>
      <x:c r="Y39" s="4"/>
    </x:row>
    <x:row r="40" spans="1:19" s="197" customFormat="1" customHeight="1">
      <x:c r="A40" s="97">
        <x:v>35</x:v>
      </x:c>
      <x:c r="B40" s="16" t="s">
        <x:v>382</x:v>
      </x:c>
      <x:c r="C40" s="16" t="s">
        <x:v>349</x:v>
      </x:c>
      <x:c r="D40" s="16" t="s">
        <x:v>217</x:v>
      </x:c>
      <x:c r="E40" s="16" t="s">
        <x:v>222</x:v>
      </x:c>
      <x:c r="F40" s="16"/>
      <x:c r="G40" s="153" t="s">
        <x:v>267</x:v>
      </x:c>
      <x:c r="H40" s="149"/>
      <x:c r="I40" s="150"/>
      <x:c r="J40" s="150"/>
      <x:c r="K40" s="150"/>
      <x:c r="L40" s="178"/>
      <x:c r="M40" s="146"/>
      <x:c r="N40" s="137"/>
      <x:c r="O40" s="164">
        <x:v>3</x:v>
      </x:c>
      <x:c r="P40" s="164">
        <x:v>1</x:v>
      </x:c>
      <x:c r="Q40" s="164"/>
      <x:c r="R40" s="178" t="s">
        <x:v>188</x:v>
      </x:c>
      <x:c r="S40" s="212" t="s">
        <x:v>175</x:v>
      </x:c>
    </x:row>
    <x:row r="41" spans="1:19" s="37" customFormat="1" customHeight="1">
      <x:c r="A41" s="73">
        <x:v>36</x:v>
      </x:c>
      <x:c r="B41" s="78" t="s">
        <x:v>382</x:v>
      </x:c>
      <x:c r="C41" s="78" t="s">
        <x:v>359</x:v>
      </x:c>
      <x:c r="D41" s="78" t="s">
        <x:v>217</x:v>
      </x:c>
      <x:c r="E41" s="78" t="s">
        <x:v>263</x:v>
      </x:c>
      <x:c r="F41" s="78"/>
      <x:c r="G41" s="154"/>
      <x:c r="H41" s="176"/>
      <x:c r="I41" s="164"/>
      <x:c r="J41" s="164"/>
      <x:c r="K41" s="164"/>
      <x:c r="L41" s="164"/>
      <x:c r="M41" s="215"/>
      <x:c r="N41" s="137"/>
      <x:c r="O41" s="164"/>
      <x:c r="P41" s="164"/>
      <x:c r="Q41" s="164"/>
      <x:c r="R41" s="164"/>
      <x:c r="S41" s="176"/>
    </x:row>
    <x:row r="42" spans="1:25" customHeight="1">
      <x:c r="A42" s="97">
        <x:v>37</x:v>
      </x:c>
      <x:c r="B42" s="15" t="s">
        <x:v>382</x:v>
      </x:c>
      <x:c r="C42" s="15" t="s">
        <x:v>285</x:v>
      </x:c>
      <x:c r="D42" s="15" t="s">
        <x:v>173</x:v>
      </x:c>
      <x:c r="E42" s="15" t="s">
        <x:v>141</x:v>
      </x:c>
      <x:c r="F42" s="15"/>
      <x:c r="G42" s="152" t="s">
        <x:v>267</x:v>
      </x:c>
      <x:c r="H42" s="149"/>
      <x:c r="I42" s="150"/>
      <x:c r="J42" s="150"/>
      <x:c r="K42" s="150"/>
      <x:c r="L42" s="178"/>
      <x:c r="M42" s="146"/>
      <x:c r="N42" s="137"/>
      <x:c r="O42" s="164">
        <x:v>4</x:v>
      </x:c>
      <x:c r="P42" s="164"/>
      <x:c r="Q42" s="164"/>
      <x:c r="R42" s="178" t="s">
        <x:v>36</x:v>
      </x:c>
      <x:c r="S42" s="212" t="s">
        <x:v>223</x:v>
      </x:c>
      <x:c r="T42" s="4"/>
      <x:c r="U42" s="4"/>
      <x:c r="V42" s="4"/>
      <x:c r="W42" s="4"/>
      <x:c r="X42" s="4"/>
      <x:c r="Y42" s="4"/>
    </x:row>
    <x:row r="43" spans="1:25" customHeight="1">
      <x:c r="A43" s="73">
        <x:v>38</x:v>
      </x:c>
      <x:c r="B43" s="15" t="s">
        <x:v>382</x:v>
      </x:c>
      <x:c r="C43" s="15" t="s">
        <x:v>285</x:v>
      </x:c>
      <x:c r="D43" s="15" t="s">
        <x:v>173</x:v>
      </x:c>
      <x:c r="E43" s="15" t="s">
        <x:v>170</x:v>
      </x:c>
      <x:c r="F43" s="15"/>
      <x:c r="G43" s="152" t="s">
        <x:v>267</x:v>
      </x:c>
      <x:c r="H43" s="149"/>
      <x:c r="I43" s="150"/>
      <x:c r="J43" s="150"/>
      <x:c r="K43" s="150"/>
      <x:c r="L43" s="178"/>
      <x:c r="M43" s="146"/>
      <x:c r="N43" s="137"/>
      <x:c r="O43" s="164">
        <x:v>5</x:v>
      </x:c>
      <x:c r="P43" s="164"/>
      <x:c r="Q43" s="164"/>
      <x:c r="R43" s="178" t="s">
        <x:v>36</x:v>
      </x:c>
      <x:c r="S43" s="212" t="s">
        <x:v>223</x:v>
      </x:c>
      <x:c r="T43" s="4"/>
      <x:c r="U43" s="4"/>
      <x:c r="V43" s="4"/>
      <x:c r="W43" s="4"/>
      <x:c r="X43" s="4"/>
      <x:c r="Y43" s="4"/>
    </x:row>
    <x:row r="44" spans="1:25" customHeight="1">
      <x:c r="A44" s="97">
        <x:v>39</x:v>
      </x:c>
      <x:c r="B44" s="15" t="s">
        <x:v>382</x:v>
      </x:c>
      <x:c r="C44" s="15" t="s">
        <x:v>285</x:v>
      </x:c>
      <x:c r="D44" s="15" t="s">
        <x:v>173</x:v>
      </x:c>
      <x:c r="E44" s="15" t="s">
        <x:v>146</x:v>
      </x:c>
      <x:c r="F44" s="15"/>
      <x:c r="G44" s="152" t="s">
        <x:v>267</x:v>
      </x:c>
      <x:c r="H44" s="149">
        <x:v>1</x:v>
      </x:c>
      <x:c r="I44" s="150"/>
      <x:c r="J44" s="150"/>
      <x:c r="K44" s="150"/>
      <x:c r="L44" s="178" t="s">
        <x:v>162</x:v>
      </x:c>
      <x:c r="M44" s="211" t="s">
        <x:v>225</x:v>
      </x:c>
      <x:c r="N44" s="137"/>
      <x:c r="O44" s="164"/>
      <x:c r="P44" s="164"/>
      <x:c r="Q44" s="164">
        <x:v>2</x:v>
      </x:c>
      <x:c r="R44" s="178" t="s">
        <x:v>238</x:v>
      </x:c>
      <x:c r="S44" s="212" t="s">
        <x:v>238</x:v>
      </x:c>
      <x:c r="T44" s="4"/>
      <x:c r="U44" s="4"/>
      <x:c r="V44" s="4"/>
      <x:c r="W44" s="4"/>
      <x:c r="X44" s="4"/>
      <x:c r="Y44" s="4"/>
    </x:row>
    <x:row r="45" spans="1:25" customHeight="1">
      <x:c r="A45" s="73">
        <x:v>40</x:v>
      </x:c>
      <x:c r="B45" s="15" t="s">
        <x:v>382</x:v>
      </x:c>
      <x:c r="C45" s="15" t="s">
        <x:v>349</x:v>
      </x:c>
      <x:c r="D45" s="15" t="s">
        <x:v>173</x:v>
      </x:c>
      <x:c r="E45" s="15" t="s">
        <x:v>211</x:v>
      </x:c>
      <x:c r="F45" s="15"/>
      <x:c r="G45" s="152" t="s">
        <x:v>267</x:v>
      </x:c>
      <x:c r="H45" s="149"/>
      <x:c r="I45" s="150"/>
      <x:c r="J45" s="150"/>
      <x:c r="K45" s="150"/>
      <x:c r="L45" s="178"/>
      <x:c r="M45" s="146"/>
      <x:c r="N45" s="137">
        <x:v>3</x:v>
      </x:c>
      <x:c r="O45" s="164">
        <x:v>1</x:v>
      </x:c>
      <x:c r="P45" s="164"/>
      <x:c r="Q45" s="164"/>
      <x:c r="R45" s="178" t="s">
        <x:v>223</x:v>
      </x:c>
      <x:c r="S45" s="212" t="s">
        <x:v>225</x:v>
      </x:c>
      <x:c r="T45" s="4"/>
      <x:c r="U45" s="4"/>
      <x:c r="V45" s="4"/>
      <x:c r="W45" s="4"/>
      <x:c r="X45" s="4"/>
      <x:c r="Y45" s="4"/>
    </x:row>
    <x:row r="46" spans="1:25" customHeight="1">
      <x:c r="A46" s="97">
        <x:v>41</x:v>
      </x:c>
      <x:c r="B46" s="15" t="s">
        <x:v>382</x:v>
      </x:c>
      <x:c r="C46" s="15" t="s">
        <x:v>285</x:v>
      </x:c>
      <x:c r="D46" s="15" t="s">
        <x:v>173</x:v>
      </x:c>
      <x:c r="E46" s="15" t="s">
        <x:v>144</x:v>
      </x:c>
      <x:c r="F46" s="15"/>
      <x:c r="G46" s="152" t="s">
        <x:v>267</x:v>
      </x:c>
      <x:c r="H46" s="149">
        <x:v>4</x:v>
      </x:c>
      <x:c r="I46" s="150">
        <x:v>1</x:v>
      </x:c>
      <x:c r="J46" s="150"/>
      <x:c r="K46" s="150"/>
      <x:c r="L46" s="178" t="s">
        <x:v>223</x:v>
      </x:c>
      <x:c r="M46" s="211" t="s">
        <x:v>215</x:v>
      </x:c>
      <x:c r="N46" s="137"/>
      <x:c r="O46" s="164"/>
      <x:c r="P46" s="164"/>
      <x:c r="Q46" s="164"/>
      <x:c r="R46" s="178"/>
      <x:c r="S46" s="185"/>
      <x:c r="T46" s="4"/>
      <x:c r="U46" s="4"/>
      <x:c r="V46" s="4"/>
      <x:c r="W46" s="4"/>
      <x:c r="X46" s="4"/>
      <x:c r="Y46" s="4"/>
    </x:row>
    <x:row r="47" spans="1:19" s="197" customFormat="1" customHeight="1">
      <x:c r="A47" s="73">
        <x:v>42</x:v>
      </x:c>
      <x:c r="B47" s="16" t="s">
        <x:v>382</x:v>
      </x:c>
      <x:c r="C47" s="16" t="s">
        <x:v>285</x:v>
      </x:c>
      <x:c r="D47" s="16" t="s">
        <x:v>173</x:v>
      </x:c>
      <x:c r="E47" s="16" t="s">
        <x:v>152</x:v>
      </x:c>
      <x:c r="F47" s="16"/>
      <x:c r="G47" s="153" t="s">
        <x:v>267</x:v>
      </x:c>
      <x:c r="H47" s="149">
        <x:v>3</x:v>
      </x:c>
      <x:c r="I47" s="150">
        <x:v>1</x:v>
      </x:c>
      <x:c r="J47" s="150"/>
      <x:c r="K47" s="150"/>
      <x:c r="L47" s="178" t="s">
        <x:v>223</x:v>
      </x:c>
      <x:c r="M47" s="211" t="s">
        <x:v>215</x:v>
      </x:c>
      <x:c r="N47" s="137"/>
      <x:c r="O47" s="164"/>
      <x:c r="P47" s="164"/>
      <x:c r="Q47" s="164"/>
      <x:c r="R47" s="178"/>
      <x:c r="S47" s="185"/>
    </x:row>
    <x:row r="48" spans="1:19" s="199" customFormat="1" customHeight="1">
      <x:c r="A48" s="97">
        <x:v>43</x:v>
      </x:c>
      <x:c r="B48" s="56" t="s">
        <x:v>382</x:v>
      </x:c>
      <x:c r="C48" s="56" t="s">
        <x:v>285</x:v>
      </x:c>
      <x:c r="D48" s="56" t="s">
        <x:v>173</x:v>
      </x:c>
      <x:c r="E48" s="56" t="s">
        <x:v>105</x:v>
      </x:c>
      <x:c r="F48" s="56"/>
      <x:c r="G48" s="155" t="s">
        <x:v>267</x:v>
      </x:c>
      <x:c r="H48" s="177"/>
      <x:c r="I48" s="178"/>
      <x:c r="J48" s="178"/>
      <x:c r="K48" s="178"/>
      <x:c r="L48" s="178"/>
      <x:c r="M48" s="178"/>
      <x:c r="N48" s="179"/>
      <x:c r="O48" s="178"/>
      <x:c r="P48" s="178">
        <x:v>3</x:v>
      </x:c>
      <x:c r="Q48" s="178">
        <x:v>4</x:v>
      </x:c>
      <x:c r="R48" s="178" t="s">
        <x:v>238</x:v>
      </x:c>
      <x:c r="S48" s="216" t="s">
        <x:v>36</x:v>
      </x:c>
    </x:row>
    <x:row r="49" spans="1:25" customHeight="1">
      <x:c r="A49" s="73">
        <x:v>44</x:v>
      </x:c>
      <x:c r="B49" s="15" t="s">
        <x:v>382</x:v>
      </x:c>
      <x:c r="C49" s="15" t="s">
        <x:v>349</x:v>
      </x:c>
      <x:c r="D49" s="15" t="s">
        <x:v>173</x:v>
      </x:c>
      <x:c r="E49" s="15" t="s">
        <x:v>149</x:v>
      </x:c>
      <x:c r="F49" s="15"/>
      <x:c r="G49" s="152" t="s">
        <x:v>267</x:v>
      </x:c>
      <x:c r="H49" s="149"/>
      <x:c r="I49" s="150"/>
      <x:c r="J49" s="150"/>
      <x:c r="K49" s="150"/>
      <x:c r="L49" s="178"/>
      <x:c r="M49" s="146"/>
      <x:c r="N49" s="137"/>
      <x:c r="O49" s="164">
        <x:v>4</x:v>
      </x:c>
      <x:c r="P49" s="164"/>
      <x:c r="Q49" s="164"/>
      <x:c r="R49" s="178" t="s">
        <x:v>36</x:v>
      </x:c>
      <x:c r="S49" s="212" t="s">
        <x:v>158</x:v>
      </x:c>
      <x:c r="T49" s="4"/>
      <x:c r="U49" s="4"/>
      <x:c r="V49" s="4"/>
      <x:c r="W49" s="4"/>
      <x:c r="X49" s="4"/>
      <x:c r="Y49" s="4"/>
    </x:row>
    <x:row r="50" spans="1:19" s="197" customFormat="1" customHeight="1">
      <x:c r="A50" s="97">
        <x:v>45</x:v>
      </x:c>
      <x:c r="B50" s="56" t="s">
        <x:v>382</x:v>
      </x:c>
      <x:c r="C50" s="56" t="s">
        <x:v>285</x:v>
      </x:c>
      <x:c r="D50" s="56" t="s">
        <x:v>277</x:v>
      </x:c>
      <x:c r="E50" s="56" t="s">
        <x:v>270</x:v>
      </x:c>
      <x:c r="F50" s="56"/>
      <x:c r="G50" s="156" t="s">
        <x:v>267</x:v>
      </x:c>
      <x:c r="H50" s="177"/>
      <x:c r="I50" s="178"/>
      <x:c r="J50" s="178"/>
      <x:c r="K50" s="178"/>
      <x:c r="L50" s="178"/>
      <x:c r="M50" s="178"/>
      <x:c r="N50" s="179"/>
      <x:c r="O50" s="178"/>
      <x:c r="P50" s="178"/>
      <x:c r="Q50" s="178"/>
      <x:c r="R50" s="178"/>
      <x:c r="S50" s="177"/>
    </x:row>
    <x:row r="51" spans="1:25" customHeight="1">
      <x:c r="A51" s="73">
        <x:v>46</x:v>
      </x:c>
      <x:c r="B51" s="16" t="s">
        <x:v>382</x:v>
      </x:c>
      <x:c r="C51" s="16" t="s">
        <x:v>285</x:v>
      </x:c>
      <x:c r="D51" s="16" t="s">
        <x:v>171</x:v>
      </x:c>
      <x:c r="E51" s="16" t="s">
        <x:v>143</x:v>
      </x:c>
      <x:c r="F51" s="15"/>
      <x:c r="G51" s="153" t="s">
        <x:v>267</x:v>
      </x:c>
      <x:c r="H51" s="149">
        <x:v>4</x:v>
      </x:c>
      <x:c r="I51" s="150"/>
      <x:c r="J51" s="150"/>
      <x:c r="K51" s="150"/>
      <x:c r="L51" s="178" t="s">
        <x:v>158</x:v>
      </x:c>
      <x:c r="M51" s="211" t="s">
        <x:v>215</x:v>
      </x:c>
      <x:c r="N51" s="137"/>
      <x:c r="O51" s="164"/>
      <x:c r="P51" s="164"/>
      <x:c r="Q51" s="164"/>
      <x:c r="R51" s="178"/>
      <x:c r="S51" s="185"/>
      <x:c r="T51" s="4"/>
      <x:c r="U51" s="4"/>
      <x:c r="V51" s="4"/>
      <x:c r="W51" s="4"/>
      <x:c r="X51" s="4"/>
      <x:c r="Y51" s="4"/>
    </x:row>
    <x:row r="52" spans="1:25" customHeight="1">
      <x:c r="A52" s="97">
        <x:v>47</x:v>
      </x:c>
      <x:c r="B52" s="86" t="s">
        <x:v>382</x:v>
      </x:c>
      <x:c r="C52" s="86" t="s">
        <x:v>285</x:v>
      </x:c>
      <x:c r="D52" s="87" t="s">
        <x:v>171</x:v>
      </x:c>
      <x:c r="E52" s="87" t="s">
        <x:v>122</x:v>
      </x:c>
      <x:c r="F52" s="86"/>
      <x:c r="G52" s="157" t="s">
        <x:v>267</x:v>
      </x:c>
      <x:c r="H52" s="149"/>
      <x:c r="I52" s="168"/>
      <x:c r="J52" s="168"/>
      <x:c r="K52" s="168"/>
      <x:c r="L52" s="209"/>
      <x:c r="M52" s="147"/>
      <x:c r="N52" s="137"/>
      <x:c r="O52" s="165"/>
      <x:c r="P52" s="165">
        <x:v>4</x:v>
      </x:c>
      <x:c r="Q52" s="165"/>
      <x:c r="R52" s="209" t="s">
        <x:v>36</x:v>
      </x:c>
      <x:c r="S52" s="217" t="s">
        <x:v>158</x:v>
      </x:c>
      <x:c r="T52" s="4"/>
      <x:c r="U52" s="4"/>
      <x:c r="V52" s="4"/>
      <x:c r="W52" s="4"/>
      <x:c r="X52" s="4"/>
      <x:c r="Y52" s="4"/>
    </x:row>
    <x:row r="53" spans="1:19" s="8" customFormat="1" customHeight="1">
      <x:c r="A53" s="73">
        <x:v>48</x:v>
      </x:c>
      <x:c r="B53" s="72" t="s">
        <x:v>382</x:v>
      </x:c>
      <x:c r="C53" s="78" t="s">
        <x:v>285</x:v>
      </x:c>
      <x:c r="D53" s="220" t="s">
        <x:v>167</x:v>
      </x:c>
      <x:c r="E53" s="220" t="s">
        <x:v>166</x:v>
      </x:c>
      <x:c r="F53" s="78"/>
      <x:c r="G53" s="221" t="s">
        <x:v>267</x:v>
      </x:c>
      <x:c r="H53" s="176"/>
      <x:c r="I53" s="165"/>
      <x:c r="J53" s="165">
        <x:v>5</x:v>
      </x:c>
      <x:c r="K53" s="165">
        <x:v>4</x:v>
      </x:c>
      <x:c r="L53" s="209" t="s">
        <x:v>238</x:v>
      </x:c>
      <x:c r="M53" s="222" t="s">
        <x:v>188</x:v>
      </x:c>
      <x:c r="N53" s="137"/>
      <x:c r="O53" s="165"/>
      <x:c r="P53" s="165"/>
      <x:c r="Q53" s="165"/>
      <x:c r="R53" s="209"/>
      <x:c r="S53" s="217"/>
    </x:row>
    <x:row r="54" spans="1:19" s="8" customFormat="1" customHeight="1">
      <x:c r="A54" s="97">
        <x:v>49</x:v>
      </x:c>
      <x:c r="B54" s="72" t="s">
        <x:v>382</x:v>
      </x:c>
      <x:c r="C54" s="78" t="s">
        <x:v>381</x:v>
      </x:c>
      <x:c r="D54" s="220" t="s">
        <x:v>167</x:v>
      </x:c>
      <x:c r="E54" s="220" t="s">
        <x:v>239</x:v>
      </x:c>
      <x:c r="F54" s="78"/>
      <x:c r="G54" s="221" t="s">
        <x:v>267</x:v>
      </x:c>
      <x:c r="H54" s="176"/>
      <x:c r="I54" s="165"/>
      <x:c r="J54" s="165"/>
      <x:c r="K54" s="165"/>
      <x:c r="L54" s="209"/>
      <x:c r="M54" s="147"/>
      <x:c r="N54" s="137"/>
      <x:c r="O54" s="165"/>
      <x:c r="P54" s="165">
        <x:v>5</x:v>
      </x:c>
      <x:c r="Q54" s="165">
        <x:v>10</x:v>
      </x:c>
      <x:c r="R54" s="209" t="s">
        <x:v>238</x:v>
      </x:c>
      <x:c r="S54" s="217" t="s">
        <x:v>188</x:v>
      </x:c>
    </x:row>
    <x:row r="55" spans="1:25" customHeight="1">
      <x:c r="A55" s="73">
        <x:v>50</x:v>
      </x:c>
      <x:c r="B55" s="59" t="s">
        <x:v>383</x:v>
      </x:c>
      <x:c r="C55" s="54" t="s">
        <x:v>252</x:v>
      </x:c>
      <x:c r="D55" s="54" t="s">
        <x:v>246</x:v>
      </x:c>
      <x:c r="E55" s="54" t="s">
        <x:v>17</x:v>
      </x:c>
      <x:c r="F55" s="47"/>
      <x:c r="G55" s="151" t="s">
        <x:v>272</x:v>
      </x:c>
      <x:c r="H55" s="171"/>
      <x:c r="I55" s="175"/>
      <x:c r="J55" s="175"/>
      <x:c r="K55" s="175"/>
      <x:c r="L55" s="178"/>
      <x:c r="M55" s="175"/>
      <x:c r="N55" s="173"/>
      <x:c r="O55" s="175"/>
      <x:c r="P55" s="175"/>
      <x:c r="Q55" s="175"/>
      <x:c r="R55" s="178"/>
      <x:c r="S55" s="171"/>
      <x:c r="T55" s="4"/>
      <x:c r="U55" s="4"/>
      <x:c r="V55" s="4"/>
      <x:c r="W55" s="4"/>
      <x:c r="X55" s="4"/>
      <x:c r="Y55" s="4"/>
    </x:row>
    <x:row r="56" spans="1:19" s="9" customFormat="1" customHeight="1">
      <x:c r="A56" s="97">
        <x:v>51</x:v>
      </x:c>
      <x:c r="B56" s="15" t="s">
        <x:v>383</x:v>
      </x:c>
      <x:c r="C56" s="15" t="s">
        <x:v>381</x:v>
      </x:c>
      <x:c r="D56" s="15" t="s">
        <x:v>248</x:v>
      </x:c>
      <x:c r="E56" s="15" t="s">
        <x:v>137</x:v>
      </x:c>
      <x:c r="F56" s="15"/>
      <x:c r="G56" s="152" t="s">
        <x:v>267</x:v>
      </x:c>
      <x:c r="H56" s="171"/>
      <x:c r="I56" s="175"/>
      <x:c r="J56" s="175"/>
      <x:c r="K56" s="175"/>
      <x:c r="L56" s="178"/>
      <x:c r="M56" s="175"/>
      <x:c r="N56" s="173"/>
      <x:c r="O56" s="175"/>
      <x:c r="P56" s="175"/>
      <x:c r="Q56" s="175"/>
      <x:c r="R56" s="178"/>
      <x:c r="S56" s="171"/>
    </x:row>
    <x:row r="57" spans="1:19" s="9" customFormat="1" customHeight="1">
      <x:c r="A57" s="73">
        <x:v>52</x:v>
      </x:c>
      <x:c r="B57" s="15" t="s">
        <x:v>383</x:v>
      </x:c>
      <x:c r="C57" s="15" t="s">
        <x:v>285</x:v>
      </x:c>
      <x:c r="D57" s="15" t="s">
        <x:v>168</x:v>
      </x:c>
      <x:c r="E57" s="15" t="s">
        <x:v>95</x:v>
      </x:c>
      <x:c r="F57" s="15"/>
      <x:c r="G57" s="152" t="s">
        <x:v>267</x:v>
      </x:c>
      <x:c r="H57" s="149"/>
      <x:c r="I57" s="150">
        <x:v>2</x:v>
      </x:c>
      <x:c r="J57" s="150"/>
      <x:c r="K57" s="150"/>
      <x:c r="L57" s="178" t="s">
        <x:v>36</x:v>
      </x:c>
      <x:c r="M57" s="211" t="s">
        <x:v>223</x:v>
      </x:c>
      <x:c r="N57" s="137"/>
      <x:c r="O57" s="164"/>
      <x:c r="P57" s="164"/>
      <x:c r="Q57" s="164"/>
      <x:c r="R57" s="178"/>
      <x:c r="S57" s="185"/>
    </x:row>
    <x:row r="58" spans="1:19" s="9" customFormat="1" customHeight="1">
      <x:c r="A58" s="97">
        <x:v>53</x:v>
      </x:c>
      <x:c r="B58" s="78" t="s">
        <x:v>383</x:v>
      </x:c>
      <x:c r="C58" s="78" t="s">
        <x:v>381</x:v>
      </x:c>
      <x:c r="D58" s="78" t="s">
        <x:v>168</x:v>
      </x:c>
      <x:c r="E58" s="78" t="s">
        <x:v>57</x:v>
      </x:c>
      <x:c r="F58" s="78"/>
      <x:c r="G58" s="183" t="s">
        <x:v>267</x:v>
      </x:c>
      <x:c r="H58" s="180"/>
      <x:c r="I58" s="181"/>
      <x:c r="J58" s="181"/>
      <x:c r="K58" s="181"/>
      <x:c r="L58" s="178"/>
      <x:c r="M58" s="181"/>
      <x:c r="N58" s="182"/>
      <x:c r="O58" s="181"/>
      <x:c r="P58" s="181"/>
      <x:c r="Q58" s="181"/>
      <x:c r="R58" s="178"/>
      <x:c r="S58" s="180"/>
    </x:row>
    <x:row r="59" spans="1:19" s="9" customFormat="1" customHeight="1">
      <x:c r="A59" s="73">
        <x:v>54</x:v>
      </x:c>
      <x:c r="B59" s="15" t="s">
        <x:v>383</x:v>
      </x:c>
      <x:c r="C59" s="15" t="s">
        <x:v>285</x:v>
      </x:c>
      <x:c r="D59" s="15" t="s">
        <x:v>168</x:v>
      </x:c>
      <x:c r="E59" s="15" t="s">
        <x:v>30</x:v>
      </x:c>
      <x:c r="F59" s="15"/>
      <x:c r="G59" s="152" t="s">
        <x:v>267</x:v>
      </x:c>
      <x:c r="H59" s="149"/>
      <x:c r="I59" s="150"/>
      <x:c r="J59" s="150"/>
      <x:c r="K59" s="150"/>
      <x:c r="L59" s="178"/>
      <x:c r="M59" s="146"/>
      <x:c r="N59" s="137"/>
      <x:c r="O59" s="164"/>
      <x:c r="P59" s="164"/>
      <x:c r="Q59" s="164"/>
      <x:c r="R59" s="178"/>
      <x:c r="S59" s="185"/>
    </x:row>
    <x:row r="60" spans="1:19" s="9" customFormat="1" customHeight="1">
      <x:c r="A60" s="97">
        <x:v>55</x:v>
      </x:c>
      <x:c r="B60" s="15" t="s">
        <x:v>383</x:v>
      </x:c>
      <x:c r="C60" s="15" t="s">
        <x:v>381</x:v>
      </x:c>
      <x:c r="D60" s="15" t="s">
        <x:v>168</x:v>
      </x:c>
      <x:c r="E60" s="15" t="s">
        <x:v>123</x:v>
      </x:c>
      <x:c r="F60" s="15"/>
      <x:c r="G60" s="152" t="s">
        <x:v>267</x:v>
      </x:c>
      <x:c r="H60" s="149"/>
      <x:c r="I60" s="150">
        <x:v>1</x:v>
      </x:c>
      <x:c r="J60" s="150">
        <x:v>3</x:v>
      </x:c>
      <x:c r="K60" s="150"/>
      <x:c r="L60" s="178" t="s">
        <x:v>230</x:v>
      </x:c>
      <x:c r="M60" s="211" t="s">
        <x:v>175</x:v>
      </x:c>
      <x:c r="N60" s="137"/>
      <x:c r="O60" s="164"/>
      <x:c r="P60" s="164"/>
      <x:c r="Q60" s="164"/>
      <x:c r="R60" s="178"/>
      <x:c r="S60" s="185"/>
    </x:row>
    <x:row r="61" spans="1:19" s="9" customFormat="1" customHeight="1">
      <x:c r="A61" s="73">
        <x:v>56</x:v>
      </x:c>
      <x:c r="B61" s="15" t="s">
        <x:v>383</x:v>
      </x:c>
      <x:c r="C61" s="15" t="s">
        <x:v>285</x:v>
      </x:c>
      <x:c r="D61" s="15" t="s">
        <x:v>356</x:v>
      </x:c>
      <x:c r="E61" s="16" t="s">
        <x:v>52</x:v>
      </x:c>
      <x:c r="F61" s="15"/>
      <x:c r="G61" s="153" t="s">
        <x:v>267</x:v>
      </x:c>
      <x:c r="H61" s="149"/>
      <x:c r="I61" s="150"/>
      <x:c r="J61" s="150"/>
      <x:c r="K61" s="150"/>
      <x:c r="L61" s="178"/>
      <x:c r="M61" s="146"/>
      <x:c r="N61" s="137"/>
      <x:c r="O61" s="164">
        <x:v>1</x:v>
      </x:c>
      <x:c r="P61" s="164"/>
      <x:c r="Q61" s="164"/>
      <x:c r="R61" s="178" t="s">
        <x:v>223</x:v>
      </x:c>
      <x:c r="S61" s="231" t="s">
        <x:v>158</x:v>
      </x:c>
    </x:row>
    <x:row r="62" spans="1:19" s="9" customFormat="1" customHeight="1">
      <x:c r="A62" s="97">
        <x:v>57</x:v>
      </x:c>
      <x:c r="B62" s="15" t="s">
        <x:v>383</x:v>
      </x:c>
      <x:c r="C62" s="15" t="s">
        <x:v>285</x:v>
      </x:c>
      <x:c r="D62" s="15" t="s">
        <x:v>210</x:v>
      </x:c>
      <x:c r="E62" s="16" t="s">
        <x:v>47</x:v>
      </x:c>
      <x:c r="F62" s="15"/>
      <x:c r="G62" s="153" t="s">
        <x:v>267</x:v>
      </x:c>
      <x:c r="H62" s="149"/>
      <x:c r="I62" s="150">
        <x:v>2</x:v>
      </x:c>
      <x:c r="J62" s="150"/>
      <x:c r="K62" s="150"/>
      <x:c r="L62" s="178" t="s">
        <x:v>175</x:v>
      </x:c>
      <x:c r="M62" s="146" t="s">
        <x:v>158</x:v>
      </x:c>
      <x:c r="N62" s="137"/>
      <x:c r="O62" s="164"/>
      <x:c r="P62" s="164"/>
      <x:c r="Q62" s="164"/>
      <x:c r="R62" s="178"/>
      <x:c r="S62" s="185"/>
    </x:row>
    <x:row r="63" spans="1:19" s="9" customFormat="1" customHeight="1">
      <x:c r="A63" s="73">
        <x:v>58</x:v>
      </x:c>
      <x:c r="B63" s="16" t="s">
        <x:v>383</x:v>
      </x:c>
      <x:c r="C63" s="16" t="s">
        <x:v>285</x:v>
      </x:c>
      <x:c r="D63" s="16" t="s">
        <x:v>210</x:v>
      </x:c>
      <x:c r="E63" s="16" t="s">
        <x:v>237</x:v>
      </x:c>
      <x:c r="F63" s="16"/>
      <x:c r="G63" s="153" t="s">
        <x:v>267</x:v>
      </x:c>
      <x:c r="H63" s="149"/>
      <x:c r="I63" s="150"/>
      <x:c r="J63" s="150"/>
      <x:c r="K63" s="150"/>
      <x:c r="L63" s="178"/>
      <x:c r="M63" s="146"/>
      <x:c r="N63" s="137">
        <x:v>1</x:v>
      </x:c>
      <x:c r="O63" s="164"/>
      <x:c r="P63" s="164">
        <x:v>1</x:v>
      </x:c>
      <x:c r="Q63" s="164"/>
      <x:c r="R63" s="178" t="s">
        <x:v>188</x:v>
      </x:c>
      <x:c r="S63" s="212" t="s">
        <x:v>36</x:v>
      </x:c>
    </x:row>
    <x:row r="64" spans="1:20" s="9" customFormat="1" customHeight="1">
      <x:c r="A64" s="97">
        <x:v>59</x:v>
      </x:c>
      <x:c r="B64" s="16" t="s">
        <x:v>383</x:v>
      </x:c>
      <x:c r="C64" s="16" t="s">
        <x:v>381</x:v>
      </x:c>
      <x:c r="D64" s="16" t="s">
        <x:v>210</x:v>
      </x:c>
      <x:c r="E64" s="16" t="s">
        <x:v>96</x:v>
      </x:c>
      <x:c r="F64" s="16"/>
      <x:c r="G64" s="153" t="s">
        <x:v>267</x:v>
      </x:c>
      <x:c r="H64" s="149"/>
      <x:c r="I64" s="150"/>
      <x:c r="J64" s="150"/>
      <x:c r="K64" s="150"/>
      <x:c r="L64" s="178"/>
      <x:c r="M64" s="146"/>
      <x:c r="N64" s="137"/>
      <x:c r="O64" s="164"/>
      <x:c r="P64" s="164">
        <x:v>5</x:v>
      </x:c>
      <x:c r="Q64" s="164"/>
      <x:c r="R64" s="178" t="s">
        <x:v>230</x:v>
      </x:c>
      <x:c r="S64" s="212" t="s">
        <x:v>188</x:v>
      </x:c>
      <x:c r="T64" s="8" t="s">
        <x:v>311</x:v>
      </x:c>
    </x:row>
    <x:row r="65" spans="1:19" s="192" customFormat="1" customHeight="1">
      <x:c r="A65" s="73">
        <x:v>60</x:v>
      </x:c>
      <x:c r="B65" s="193" t="s">
        <x:v>383</x:v>
      </x:c>
      <x:c r="C65" s="193" t="s">
        <x:v>280</x:v>
      </x:c>
      <x:c r="D65" s="193" t="s">
        <x:v>179</x:v>
      </x:c>
      <x:c r="E65" s="193" t="s">
        <x:v>63</x:v>
      </x:c>
      <x:c r="F65" s="86"/>
      <x:c r="G65" s="194" t="s">
        <x:v>272</x:v>
      </x:c>
      <x:c r="H65" s="149"/>
      <x:c r="I65" s="150"/>
      <x:c r="J65" s="150"/>
      <x:c r="K65" s="150"/>
      <x:c r="L65" s="178"/>
      <x:c r="M65" s="150"/>
      <x:c r="N65" s="142"/>
      <x:c r="O65" s="150"/>
      <x:c r="P65" s="150"/>
      <x:c r="Q65" s="150"/>
      <x:c r="R65" s="178"/>
      <x:c r="S65" s="149"/>
    </x:row>
    <x:row r="66" spans="1:19" s="9" customFormat="1" customHeight="1">
      <x:c r="A66" s="97">
        <x:v>61</x:v>
      </x:c>
      <x:c r="B66" s="54" t="s">
        <x:v>383</x:v>
      </x:c>
      <x:c r="C66" s="61" t="s">
        <x:v>280</x:v>
      </x:c>
      <x:c r="D66" s="61" t="s">
        <x:v>217</x:v>
      </x:c>
      <x:c r="E66" s="61" t="s">
        <x:v>196</x:v>
      </x:c>
      <x:c r="F66" s="15"/>
      <x:c r="G66" s="158" t="s">
        <x:v>272</x:v>
      </x:c>
      <x:c r="H66" s="171"/>
      <x:c r="I66" s="175"/>
      <x:c r="J66" s="175"/>
      <x:c r="K66" s="175"/>
      <x:c r="L66" s="178"/>
      <x:c r="M66" s="175"/>
      <x:c r="N66" s="173"/>
      <x:c r="O66" s="175"/>
      <x:c r="P66" s="175"/>
      <x:c r="Q66" s="175"/>
      <x:c r="R66" s="178"/>
      <x:c r="S66" s="171"/>
    </x:row>
    <x:row r="67" spans="1:19" s="9" customFormat="1" customHeight="1">
      <x:c r="A67" s="73">
        <x:v>62</x:v>
      </x:c>
      <x:c r="B67" s="54" t="s">
        <x:v>383</x:v>
      </x:c>
      <x:c r="C67" s="61" t="s">
        <x:v>280</x:v>
      </x:c>
      <x:c r="D67" s="61" t="s">
        <x:v>171</x:v>
      </x:c>
      <x:c r="E67" s="61" t="s">
        <x:v>25</x:v>
      </x:c>
      <x:c r="F67" s="15"/>
      <x:c r="G67" s="158" t="s">
        <x:v>272</x:v>
      </x:c>
      <x:c r="H67" s="171"/>
      <x:c r="I67" s="175"/>
      <x:c r="J67" s="175"/>
      <x:c r="K67" s="175"/>
      <x:c r="L67" s="178"/>
      <x:c r="M67" s="175"/>
      <x:c r="N67" s="173"/>
      <x:c r="O67" s="175"/>
      <x:c r="P67" s="175"/>
      <x:c r="Q67" s="175">
        <x:v>2</x:v>
      </x:c>
      <x:c r="R67" s="178" t="s">
        <x:v>238</x:v>
      </x:c>
      <x:c r="S67" s="312" t="s">
        <x:v>201</x:v>
      </x:c>
    </x:row>
    <x:row r="68" spans="1:19" s="9" customFormat="1" customHeight="1">
      <x:c r="A68" s="97">
        <x:v>63</x:v>
      </x:c>
      <x:c r="B68" s="54" t="s">
        <x:v>383</x:v>
      </x:c>
      <x:c r="C68" s="61" t="s">
        <x:v>280</x:v>
      </x:c>
      <x:c r="D68" s="61" t="s">
        <x:v>167</x:v>
      </x:c>
      <x:c r="E68" s="61" t="s">
        <x:v>241</x:v>
      </x:c>
      <x:c r="F68" s="15"/>
      <x:c r="G68" s="158" t="s">
        <x:v>272</x:v>
      </x:c>
      <x:c r="H68" s="171"/>
      <x:c r="I68" s="175"/>
      <x:c r="J68" s="175"/>
      <x:c r="K68" s="175"/>
      <x:c r="L68" s="178"/>
      <x:c r="M68" s="175"/>
      <x:c r="N68" s="173"/>
      <x:c r="O68" s="175"/>
      <x:c r="P68" s="175"/>
      <x:c r="Q68" s="175"/>
      <x:c r="R68" s="178"/>
      <x:c r="S68" s="171"/>
    </x:row>
    <x:row r="69" spans="1:19" s="9" customFormat="1" customHeight="1">
      <x:c r="A69" s="73">
        <x:v>64</x:v>
      </x:c>
      <x:c r="B69" s="15" t="s">
        <x:v>383</x:v>
      </x:c>
      <x:c r="C69" s="15" t="s">
        <x:v>285</x:v>
      </x:c>
      <x:c r="D69" s="16" t="s">
        <x:v>179</x:v>
      </x:c>
      <x:c r="E69" s="16" t="s">
        <x:v>100</x:v>
      </x:c>
      <x:c r="F69" s="15"/>
      <x:c r="G69" s="152" t="s">
        <x:v>267</x:v>
      </x:c>
      <x:c r="H69" s="149"/>
      <x:c r="I69" s="150"/>
      <x:c r="J69" s="150">
        <x:v>4</x:v>
      </x:c>
      <x:c r="K69" s="150"/>
      <x:c r="L69" s="178" t="s">
        <x:v>230</x:v>
      </x:c>
      <x:c r="M69" s="211" t="s">
        <x:v>191</x:v>
      </x:c>
      <x:c r="N69" s="137"/>
      <x:c r="O69" s="164"/>
      <x:c r="P69" s="164"/>
      <x:c r="Q69" s="164"/>
      <x:c r="R69" s="178"/>
      <x:c r="S69" s="185"/>
    </x:row>
    <x:row r="70" spans="1:19" s="9" customFormat="1" customHeight="1">
      <x:c r="A70" s="97">
        <x:v>65</x:v>
      </x:c>
      <x:c r="B70" s="15" t="s">
        <x:v>383</x:v>
      </x:c>
      <x:c r="C70" s="15" t="s">
        <x:v>285</x:v>
      </x:c>
      <x:c r="D70" s="16" t="s">
        <x:v>217</x:v>
      </x:c>
      <x:c r="E70" s="16" t="s">
        <x:v>23</x:v>
      </x:c>
      <x:c r="F70" s="15"/>
      <x:c r="G70" s="153" t="s">
        <x:v>267</x:v>
      </x:c>
      <x:c r="H70" s="149"/>
      <x:c r="I70" s="150"/>
      <x:c r="J70" s="150"/>
      <x:c r="K70" s="150"/>
      <x:c r="L70" s="178"/>
      <x:c r="M70" s="146"/>
      <x:c r="N70" s="137"/>
      <x:c r="O70" s="164"/>
      <x:c r="P70" s="164">
        <x:v>4</x:v>
      </x:c>
      <x:c r="Q70" s="164"/>
      <x:c r="R70" s="178" t="s">
        <x:v>230</x:v>
      </x:c>
      <x:c r="S70" s="212" t="s">
        <x:v>36</x:v>
      </x:c>
    </x:row>
    <x:row r="71" spans="1:19" s="9" customFormat="1" customHeight="1">
      <x:c r="A71" s="73">
        <x:v>66</x:v>
      </x:c>
      <x:c r="B71" s="15" t="s">
        <x:v>383</x:v>
      </x:c>
      <x:c r="C71" s="16" t="s">
        <x:v>381</x:v>
      </x:c>
      <x:c r="D71" s="16" t="s">
        <x:v>217</x:v>
      </x:c>
      <x:c r="E71" s="16" t="s">
        <x:v>130</x:v>
      </x:c>
      <x:c r="F71" s="15"/>
      <x:c r="G71" s="153" t="s">
        <x:v>267</x:v>
      </x:c>
      <x:c r="H71" s="149"/>
      <x:c r="I71" s="150"/>
      <x:c r="J71" s="150"/>
      <x:c r="K71" s="150"/>
      <x:c r="L71" s="178"/>
      <x:c r="M71" s="146"/>
      <x:c r="N71" s="137"/>
      <x:c r="O71" s="164">
        <x:v>2</x:v>
      </x:c>
      <x:c r="P71" s="164">
        <x:v>1</x:v>
      </x:c>
      <x:c r="Q71" s="164"/>
      <x:c r="R71" s="178" t="s">
        <x:v>188</x:v>
      </x:c>
      <x:c r="S71" s="212" t="s">
        <x:v>223</x:v>
      </x:c>
    </x:row>
    <x:row r="72" spans="1:19" s="9" customFormat="1" customHeight="1">
      <x:c r="A72" s="97">
        <x:v>67</x:v>
      </x:c>
      <x:c r="B72" s="15" t="s">
        <x:v>383</x:v>
      </x:c>
      <x:c r="C72" s="15" t="s">
        <x:v>381</x:v>
      </x:c>
      <x:c r="D72" s="15" t="s">
        <x:v>217</x:v>
      </x:c>
      <x:c r="E72" s="16" t="s">
        <x:v>76</x:v>
      </x:c>
      <x:c r="F72" s="47"/>
      <x:c r="G72" s="153" t="s">
        <x:v>267</x:v>
      </x:c>
      <x:c r="H72" s="149">
        <x:v>1</x:v>
      </x:c>
      <x:c r="I72" s="150"/>
      <x:c r="J72" s="150"/>
      <x:c r="K72" s="150"/>
      <x:c r="L72" s="178" t="s">
        <x:v>162</x:v>
      </x:c>
      <x:c r="M72" s="211" t="s">
        <x:v>225</x:v>
      </x:c>
      <x:c r="N72" s="137"/>
      <x:c r="O72" s="164"/>
      <x:c r="P72" s="164"/>
      <x:c r="Q72" s="164"/>
      <x:c r="R72" s="178"/>
      <x:c r="S72" s="185"/>
    </x:row>
    <x:row r="73" spans="1:19" s="9" customFormat="1" customHeight="1">
      <x:c r="A73" s="73">
        <x:v>68</x:v>
      </x:c>
      <x:c r="B73" s="15" t="s">
        <x:v>383</x:v>
      </x:c>
      <x:c r="C73" s="15" t="s">
        <x:v>381</x:v>
      </x:c>
      <x:c r="D73" s="15" t="s">
        <x:v>217</x:v>
      </x:c>
      <x:c r="E73" s="15" t="s">
        <x:v>89</x:v>
      </x:c>
      <x:c r="F73" s="15"/>
      <x:c r="G73" s="152" t="s">
        <x:v>267</x:v>
      </x:c>
      <x:c r="H73" s="149"/>
      <x:c r="I73" s="150"/>
      <x:c r="J73" s="150"/>
      <x:c r="K73" s="150"/>
      <x:c r="L73" s="178"/>
      <x:c r="M73" s="146"/>
      <x:c r="N73" s="137">
        <x:v>2</x:v>
      </x:c>
      <x:c r="O73" s="164">
        <x:v>3</x:v>
      </x:c>
      <x:c r="P73" s="164"/>
      <x:c r="Q73" s="164"/>
      <x:c r="R73" s="178" t="s">
        <x:v>36</x:v>
      </x:c>
      <x:c r="S73" s="212" t="s">
        <x:v>158</x:v>
      </x:c>
    </x:row>
    <x:row r="74" spans="1:19" s="9" customFormat="1" customHeight="1">
      <x:c r="A74" s="97">
        <x:v>69</x:v>
      </x:c>
      <x:c r="B74" s="15" t="s">
        <x:v>383</x:v>
      </x:c>
      <x:c r="C74" s="15" t="s">
        <x:v>381</x:v>
      </x:c>
      <x:c r="D74" s="15" t="s">
        <x:v>173</x:v>
      </x:c>
      <x:c r="E74" s="15" t="s">
        <x:v>178</x:v>
      </x:c>
      <x:c r="F74" s="15"/>
      <x:c r="G74" s="152" t="s">
        <x:v>267</x:v>
      </x:c>
      <x:c r="H74" s="149"/>
      <x:c r="I74" s="150"/>
      <x:c r="J74" s="150"/>
      <x:c r="K74" s="150"/>
      <x:c r="L74" s="178"/>
      <x:c r="M74" s="146"/>
      <x:c r="N74" s="137">
        <x:v>1</x:v>
      </x:c>
      <x:c r="O74" s="164"/>
      <x:c r="P74" s="164"/>
      <x:c r="Q74" s="164"/>
      <x:c r="R74" s="178" t="s">
        <x:v>162</x:v>
      </x:c>
      <x:c r="S74" s="212" t="s">
        <x:v>225</x:v>
      </x:c>
    </x:row>
    <x:row r="75" spans="1:19" s="9" customFormat="1" customHeight="1">
      <x:c r="A75" s="73">
        <x:v>70</x:v>
      </x:c>
      <x:c r="B75" s="15" t="s">
        <x:v>383</x:v>
      </x:c>
      <x:c r="C75" s="15" t="s">
        <x:v>285</x:v>
      </x:c>
      <x:c r="D75" s="15" t="s">
        <x:v>173</x:v>
      </x:c>
      <x:c r="E75" s="16" t="s">
        <x:v>31</x:v>
      </x:c>
      <x:c r="F75" s="15"/>
      <x:c r="G75" s="153" t="s">
        <x:v>267</x:v>
      </x:c>
      <x:c r="H75" s="149">
        <x:v>1</x:v>
      </x:c>
      <x:c r="I75" s="150"/>
      <x:c r="J75" s="150"/>
      <x:c r="K75" s="150"/>
      <x:c r="L75" s="178" t="s">
        <x:v>215</x:v>
      </x:c>
      <x:c r="M75" s="211" t="s">
        <x:v>162</x:v>
      </x:c>
      <x:c r="N75" s="137"/>
      <x:c r="O75" s="164"/>
      <x:c r="P75" s="164"/>
      <x:c r="Q75" s="164"/>
      <x:c r="R75" s="178"/>
      <x:c r="S75" s="185"/>
    </x:row>
    <x:row r="76" spans="1:19" s="9" customFormat="1" customHeight="1">
      <x:c r="A76" s="97">
        <x:v>71</x:v>
      </x:c>
      <x:c r="B76" s="15" t="s">
        <x:v>383</x:v>
      </x:c>
      <x:c r="C76" s="15" t="s">
        <x:v>381</x:v>
      </x:c>
      <x:c r="D76" s="15" t="s">
        <x:v>173</x:v>
      </x:c>
      <x:c r="E76" s="16" t="s">
        <x:v>148</x:v>
      </x:c>
      <x:c r="F76" s="15"/>
      <x:c r="G76" s="153" t="s">
        <x:v>267</x:v>
      </x:c>
      <x:c r="H76" s="149"/>
      <x:c r="I76" s="150"/>
      <x:c r="J76" s="150"/>
      <x:c r="K76" s="150"/>
      <x:c r="L76" s="178"/>
      <x:c r="M76" s="146"/>
      <x:c r="N76" s="137">
        <x:v>1</x:v>
      </x:c>
      <x:c r="O76" s="164">
        <x:v>1</x:v>
      </x:c>
      <x:c r="P76" s="164"/>
      <x:c r="Q76" s="164"/>
      <x:c r="R76" s="178" t="s">
        <x:v>223</x:v>
      </x:c>
      <x:c r="S76" s="212" t="s">
        <x:v>225</x:v>
      </x:c>
    </x:row>
    <x:row r="77" spans="1:19" s="9" customFormat="1" customHeight="1">
      <x:c r="A77" s="73">
        <x:v>72</x:v>
      </x:c>
      <x:c r="B77" s="15" t="s">
        <x:v>383</x:v>
      </x:c>
      <x:c r="C77" s="15" t="s">
        <x:v>381</x:v>
      </x:c>
      <x:c r="D77" s="15" t="s">
        <x:v>173</x:v>
      </x:c>
      <x:c r="E77" s="16" t="s">
        <x:v>16</x:v>
      </x:c>
      <x:c r="F77" s="15"/>
      <x:c r="G77" s="153" t="s">
        <x:v>267</x:v>
      </x:c>
      <x:c r="H77" s="149"/>
      <x:c r="I77" s="150">
        <x:v>2</x:v>
      </x:c>
      <x:c r="J77" s="150"/>
      <x:c r="K77" s="150"/>
      <x:c r="L77" s="178" t="s">
        <x:v>36</x:v>
      </x:c>
      <x:c r="M77" s="211" t="s">
        <x:v>175</x:v>
      </x:c>
      <x:c r="N77" s="137"/>
      <x:c r="O77" s="164"/>
      <x:c r="P77" s="164"/>
      <x:c r="Q77" s="164"/>
      <x:c r="R77" s="178"/>
      <x:c r="S77" s="185"/>
    </x:row>
    <x:row r="78" spans="1:19" s="9" customFormat="1" customHeight="1">
      <x:c r="A78" s="97">
        <x:v>73</x:v>
      </x:c>
      <x:c r="B78" s="15" t="s">
        <x:v>383</x:v>
      </x:c>
      <x:c r="C78" s="15" t="s">
        <x:v>285</x:v>
      </x:c>
      <x:c r="D78" s="15" t="s">
        <x:v>173</x:v>
      </x:c>
      <x:c r="E78" s="16" t="s">
        <x:v>112</x:v>
      </x:c>
      <x:c r="F78" s="15"/>
      <x:c r="G78" s="153" t="s">
        <x:v>267</x:v>
      </x:c>
      <x:c r="H78" s="149">
        <x:v>2</x:v>
      </x:c>
      <x:c r="I78" s="150"/>
      <x:c r="J78" s="150"/>
      <x:c r="K78" s="150"/>
      <x:c r="L78" s="178" t="s">
        <x:v>215</x:v>
      </x:c>
      <x:c r="M78" s="211" t="s">
        <x:v>225</x:v>
      </x:c>
      <x:c r="N78" s="137"/>
      <x:c r="O78" s="164"/>
      <x:c r="P78" s="164"/>
      <x:c r="Q78" s="164"/>
      <x:c r="R78" s="178"/>
      <x:c r="S78" s="185"/>
    </x:row>
    <x:row r="79" spans="1:19" s="9" customFormat="1" customHeight="1">
      <x:c r="A79" s="73">
        <x:v>74</x:v>
      </x:c>
      <x:c r="B79" s="15" t="s">
        <x:v>383</x:v>
      </x:c>
      <x:c r="C79" s="15" t="s">
        <x:v>285</x:v>
      </x:c>
      <x:c r="D79" s="15" t="s">
        <x:v>173</x:v>
      </x:c>
      <x:c r="E79" s="15" t="s">
        <x:v>69</x:v>
      </x:c>
      <x:c r="F79" s="15"/>
      <x:c r="G79" s="152" t="s">
        <x:v>267</x:v>
      </x:c>
      <x:c r="H79" s="149"/>
      <x:c r="I79" s="150">
        <x:v>1</x:v>
      </x:c>
      <x:c r="J79" s="150"/>
      <x:c r="K79" s="150"/>
      <x:c r="L79" s="178" t="s">
        <x:v>36</x:v>
      </x:c>
      <x:c r="M79" s="211" t="s">
        <x:v>175</x:v>
      </x:c>
      <x:c r="N79" s="137"/>
      <x:c r="O79" s="164"/>
      <x:c r="P79" s="164"/>
      <x:c r="Q79" s="164"/>
      <x:c r="R79" s="178"/>
      <x:c r="S79" s="185"/>
    </x:row>
    <x:row r="80" spans="1:19" s="9" customFormat="1" customHeight="1">
      <x:c r="A80" s="97">
        <x:v>75</x:v>
      </x:c>
      <x:c r="B80" s="15" t="s">
        <x:v>383</x:v>
      </x:c>
      <x:c r="C80" s="15" t="s">
        <x:v>381</x:v>
      </x:c>
      <x:c r="D80" s="15" t="s">
        <x:v>173</x:v>
      </x:c>
      <x:c r="E80" s="15" t="s">
        <x:v>72</x:v>
      </x:c>
      <x:c r="F80" s="15"/>
      <x:c r="G80" s="152" t="s">
        <x:v>267</x:v>
      </x:c>
      <x:c r="H80" s="149"/>
      <x:c r="I80" s="150"/>
      <x:c r="J80" s="150"/>
      <x:c r="K80" s="150"/>
      <x:c r="L80" s="178"/>
      <x:c r="M80" s="146"/>
      <x:c r="N80" s="137">
        <x:v>3</x:v>
      </x:c>
      <x:c r="O80" s="164">
        <x:v>2</x:v>
      </x:c>
      <x:c r="P80" s="164"/>
      <x:c r="Q80" s="164"/>
      <x:c r="R80" s="178" t="s">
        <x:v>175</x:v>
      </x:c>
      <x:c r="S80" s="212" t="s">
        <x:v>215</x:v>
      </x:c>
    </x:row>
    <x:row r="81" spans="1:19" s="9" customFormat="1" customHeight="1">
      <x:c r="A81" s="73">
        <x:v>76</x:v>
      </x:c>
      <x:c r="B81" s="15" t="s">
        <x:v>383</x:v>
      </x:c>
      <x:c r="C81" s="15" t="s">
        <x:v>285</x:v>
      </x:c>
      <x:c r="D81" s="15" t="s">
        <x:v>173</x:v>
      </x:c>
      <x:c r="E81" s="15" t="s">
        <x:v>21</x:v>
      </x:c>
      <x:c r="F81" s="15"/>
      <x:c r="G81" s="152" t="s">
        <x:v>267</x:v>
      </x:c>
      <x:c r="H81" s="149"/>
      <x:c r="I81" s="150"/>
      <x:c r="J81" s="150"/>
      <x:c r="K81" s="150"/>
      <x:c r="L81" s="178"/>
      <x:c r="M81" s="146"/>
      <x:c r="N81" s="137"/>
      <x:c r="O81" s="164">
        <x:v>2</x:v>
      </x:c>
      <x:c r="P81" s="164"/>
      <x:c r="Q81" s="164"/>
      <x:c r="R81" s="178" t="s">
        <x:v>36</x:v>
      </x:c>
      <x:c r="S81" s="212" t="s">
        <x:v>175</x:v>
      </x:c>
    </x:row>
    <x:row r="82" spans="1:19" s="9" customFormat="1" customHeight="1">
      <x:c r="A82" s="97">
        <x:v>77</x:v>
      </x:c>
      <x:c r="B82" s="15" t="s">
        <x:v>383</x:v>
      </x:c>
      <x:c r="C82" s="15" t="s">
        <x:v>285</x:v>
      </x:c>
      <x:c r="D82" s="15" t="s">
        <x:v>171</x:v>
      </x:c>
      <x:c r="E82" s="15" t="s">
        <x:v>32</x:v>
      </x:c>
      <x:c r="F82" s="15"/>
      <x:c r="G82" s="159" t="s">
        <x:v>267</x:v>
      </x:c>
      <x:c r="H82" s="149">
        <x:v>1</x:v>
      </x:c>
      <x:c r="I82" s="150"/>
      <x:c r="J82" s="150"/>
      <x:c r="K82" s="150"/>
      <x:c r="L82" s="178" t="s">
        <x:v>162</x:v>
      </x:c>
      <x:c r="M82" s="211" t="s">
        <x:v>225</x:v>
      </x:c>
      <x:c r="N82" s="137"/>
      <x:c r="O82" s="164"/>
      <x:c r="P82" s="164"/>
      <x:c r="Q82" s="164"/>
      <x:c r="R82" s="178"/>
      <x:c r="S82" s="185"/>
    </x:row>
    <x:row r="83" spans="1:19" s="9" customFormat="1" customHeight="1">
      <x:c r="A83" s="73">
        <x:v>78</x:v>
      </x:c>
      <x:c r="B83" s="87" t="s">
        <x:v>383</x:v>
      </x:c>
      <x:c r="C83" s="87" t="s">
        <x:v>381</x:v>
      </x:c>
      <x:c r="D83" s="87" t="s">
        <x:v>171</x:v>
      </x:c>
      <x:c r="E83" s="87" t="s">
        <x:v>86</x:v>
      </x:c>
      <x:c r="F83" s="86"/>
      <x:c r="G83" s="157" t="s">
        <x:v>267</x:v>
      </x:c>
      <x:c r="H83" s="149"/>
      <x:c r="I83" s="168"/>
      <x:c r="J83" s="168"/>
      <x:c r="K83" s="168"/>
      <x:c r="L83" s="209"/>
      <x:c r="M83" s="147"/>
      <x:c r="N83" s="137">
        <x:v>4</x:v>
      </x:c>
      <x:c r="O83" s="165"/>
      <x:c r="P83" s="165"/>
      <x:c r="Q83" s="165"/>
      <x:c r="R83" s="209" t="s">
        <x:v>158</x:v>
      </x:c>
      <x:c r="S83" s="217" t="s">
        <x:v>162</x:v>
      </x:c>
    </x:row>
    <x:row r="84" spans="1:19" s="9" customFormat="1" customHeight="1">
      <x:c r="A84" s="97">
        <x:v>79</x:v>
      </x:c>
      <x:c r="B84" s="59" t="s">
        <x:v>362</x:v>
      </x:c>
      <x:c r="C84" s="54" t="s">
        <x:v>252</x:v>
      </x:c>
      <x:c r="D84" s="54" t="s">
        <x:v>246</x:v>
      </x:c>
      <x:c r="E84" s="54" t="s">
        <x:v>53</x:v>
      </x:c>
      <x:c r="F84" s="16"/>
      <x:c r="G84" s="151" t="s">
        <x:v>272</x:v>
      </x:c>
      <x:c r="H84" s="171"/>
      <x:c r="I84" s="175"/>
      <x:c r="J84" s="175"/>
      <x:c r="K84" s="175"/>
      <x:c r="L84" s="178"/>
      <x:c r="M84" s="175"/>
      <x:c r="N84" s="173"/>
      <x:c r="O84" s="175"/>
      <x:c r="P84" s="175"/>
      <x:c r="Q84" s="175"/>
      <x:c r="R84" s="178"/>
      <x:c r="S84" s="171"/>
    </x:row>
    <x:row r="85" spans="1:19" s="9" customFormat="1" customHeight="1">
      <x:c r="A85" s="73">
        <x:v>80</x:v>
      </x:c>
      <x:c r="B85" s="54" t="s">
        <x:v>362</x:v>
      </x:c>
      <x:c r="C85" s="54" t="s">
        <x:v>252</x:v>
      </x:c>
      <x:c r="D85" s="54" t="s">
        <x:v>168</x:v>
      </x:c>
      <x:c r="E85" s="54" t="s">
        <x:v>224</x:v>
      </x:c>
      <x:c r="F85" s="16"/>
      <x:c r="G85" s="151" t="s">
        <x:v>272</x:v>
      </x:c>
      <x:c r="H85" s="171"/>
      <x:c r="I85" s="175"/>
      <x:c r="J85" s="175"/>
      <x:c r="K85" s="175"/>
      <x:c r="L85" s="178"/>
      <x:c r="M85" s="175"/>
      <x:c r="N85" s="173"/>
      <x:c r="O85" s="175"/>
      <x:c r="P85" s="175"/>
      <x:c r="Q85" s="175"/>
      <x:c r="R85" s="178"/>
      <x:c r="S85" s="171"/>
    </x:row>
    <x:row r="86" spans="1:19" s="9" customFormat="1" customHeight="1">
      <x:c r="A86" s="97">
        <x:v>81</x:v>
      </x:c>
      <x:c r="B86" s="109" t="s">
        <x:v>362</x:v>
      </x:c>
      <x:c r="C86" s="109" t="s">
        <x:v>252</x:v>
      </x:c>
      <x:c r="D86" s="109" t="s">
        <x:v>248</x:v>
      </x:c>
      <x:c r="E86" s="109" t="s">
        <x:v>194</x:v>
      </x:c>
      <x:c r="F86" s="56"/>
      <x:c r="G86" s="162" t="s">
        <x:v>272</x:v>
      </x:c>
      <x:c r="H86" s="177"/>
      <x:c r="I86" s="178"/>
      <x:c r="J86" s="178"/>
      <x:c r="K86" s="178"/>
      <x:c r="L86" s="178"/>
      <x:c r="M86" s="178"/>
      <x:c r="N86" s="179"/>
      <x:c r="O86" s="178"/>
      <x:c r="P86" s="178"/>
      <x:c r="Q86" s="178"/>
      <x:c r="R86" s="178"/>
      <x:c r="S86" s="177"/>
    </x:row>
    <x:row r="87" spans="1:19" s="9" customFormat="1" customHeight="1">
      <x:c r="A87" s="73">
        <x:v>82</x:v>
      </x:c>
      <x:c r="B87" s="54" t="s">
        <x:v>362</x:v>
      </x:c>
      <x:c r="C87" s="54" t="s">
        <x:v>252</x:v>
      </x:c>
      <x:c r="D87" s="54" t="s">
        <x:v>210</x:v>
      </x:c>
      <x:c r="E87" s="54" t="s">
        <x:v>44</x:v>
      </x:c>
      <x:c r="F87" s="15"/>
      <x:c r="G87" s="151" t="s">
        <x:v>272</x:v>
      </x:c>
      <x:c r="H87" s="171"/>
      <x:c r="I87" s="175"/>
      <x:c r="J87" s="175"/>
      <x:c r="K87" s="175"/>
      <x:c r="L87" s="178"/>
      <x:c r="M87" s="175"/>
      <x:c r="N87" s="173"/>
      <x:c r="O87" s="175"/>
      <x:c r="P87" s="175"/>
      <x:c r="Q87" s="175"/>
      <x:c r="R87" s="178"/>
      <x:c r="S87" s="171"/>
    </x:row>
    <x:row r="88" spans="1:19" s="8" customFormat="1" customHeight="1">
      <x:c r="A88" s="97">
        <x:v>83</x:v>
      </x:c>
      <x:c r="B88" s="86" t="s">
        <x:v>362</x:v>
      </x:c>
      <x:c r="C88" s="86" t="s">
        <x:v>252</x:v>
      </x:c>
      <x:c r="D88" s="86" t="s">
        <x:v>248</x:v>
      </x:c>
      <x:c r="E88" s="86" t="s">
        <x:v>254</x:v>
      </x:c>
      <x:c r="F88" s="86"/>
      <x:c r="G88" s="160" t="s">
        <x:v>267</x:v>
      </x:c>
      <x:c r="H88" s="149"/>
      <x:c r="I88" s="150"/>
      <x:c r="J88" s="150"/>
      <x:c r="K88" s="150"/>
      <x:c r="L88" s="150"/>
      <x:c r="M88" s="214"/>
      <x:c r="N88" s="142"/>
      <x:c r="O88" s="150"/>
      <x:c r="P88" s="150"/>
      <x:c r="Q88" s="150"/>
      <x:c r="R88" s="150"/>
      <x:c r="S88" s="213"/>
    </x:row>
    <x:row r="89" spans="1:19" s="9" customFormat="1" customHeight="1">
      <x:c r="A89" s="73">
        <x:v>84</x:v>
      </x:c>
      <x:c r="B89" s="38" t="s">
        <x:v>362</x:v>
      </x:c>
      <x:c r="C89" s="16" t="s">
        <x:v>285</x:v>
      </x:c>
      <x:c r="D89" s="16" t="s">
        <x:v>168</x:v>
      </x:c>
      <x:c r="E89" s="16" t="s">
        <x:v>87</x:v>
      </x:c>
      <x:c r="F89" s="15"/>
      <x:c r="G89" s="153" t="s">
        <x:v>267</x:v>
      </x:c>
      <x:c r="H89" s="149"/>
      <x:c r="I89" s="150"/>
      <x:c r="J89" s="150"/>
      <x:c r="K89" s="150"/>
      <x:c r="L89" s="178"/>
      <x:c r="M89" s="146"/>
      <x:c r="N89" s="137">
        <x:v>1</x:v>
      </x:c>
      <x:c r="O89" s="164"/>
      <x:c r="P89" s="164"/>
      <x:c r="Q89" s="164"/>
      <x:c r="R89" s="178" t="s">
        <x:v>215</x:v>
      </x:c>
      <x:c r="S89" s="212" t="s">
        <x:v>162</x:v>
      </x:c>
    </x:row>
    <x:row r="90" spans="1:19" s="9" customFormat="1" customHeight="1">
      <x:c r="A90" s="97">
        <x:v>85</x:v>
      </x:c>
      <x:c r="B90" s="15" t="s">
        <x:v>362</x:v>
      </x:c>
      <x:c r="C90" s="15" t="s">
        <x:v>381</x:v>
      </x:c>
      <x:c r="D90" s="16" t="s">
        <x:v>168</x:v>
      </x:c>
      <x:c r="E90" s="16" t="s">
        <x:v>79</x:v>
      </x:c>
      <x:c r="F90" s="15"/>
      <x:c r="G90" s="153" t="s">
        <x:v>267</x:v>
      </x:c>
      <x:c r="H90" s="149"/>
      <x:c r="I90" s="150"/>
      <x:c r="J90" s="150"/>
      <x:c r="K90" s="150"/>
      <x:c r="L90" s="178"/>
      <x:c r="M90" s="146"/>
      <x:c r="N90" s="137"/>
      <x:c r="O90" s="164"/>
      <x:c r="P90" s="164"/>
      <x:c r="Q90" s="164"/>
      <x:c r="R90" s="178"/>
      <x:c r="S90" s="185"/>
    </x:row>
    <x:row r="91" spans="1:19" s="9" customFormat="1" customHeight="1">
      <x:c r="A91" s="73">
        <x:v>86</x:v>
      </x:c>
      <x:c r="B91" s="15" t="s">
        <x:v>362</x:v>
      </x:c>
      <x:c r="C91" s="15" t="s">
        <x:v>285</x:v>
      </x:c>
      <x:c r="D91" s="15" t="s">
        <x:v>168</x:v>
      </x:c>
      <x:c r="E91" s="15" t="s">
        <x:v>164</x:v>
      </x:c>
      <x:c r="F91" s="15"/>
      <x:c r="G91" s="152" t="s">
        <x:v>267</x:v>
      </x:c>
      <x:c r="H91" s="149"/>
      <x:c r="I91" s="150">
        <x:v>4</x:v>
      </x:c>
      <x:c r="J91" s="150"/>
      <x:c r="K91" s="150"/>
      <x:c r="L91" s="178" t="s">
        <x:v>36</x:v>
      </x:c>
      <x:c r="M91" s="211" t="s">
        <x:v>175</x:v>
      </x:c>
      <x:c r="N91" s="137"/>
      <x:c r="O91" s="164"/>
      <x:c r="P91" s="164"/>
      <x:c r="Q91" s="164"/>
      <x:c r="R91" s="178"/>
      <x:c r="S91" s="185"/>
    </x:row>
    <x:row r="92" spans="1:19" s="9" customFormat="1" customHeight="1">
      <x:c r="A92" s="97">
        <x:v>87</x:v>
      </x:c>
      <x:c r="B92" s="38" t="s">
        <x:v>362</x:v>
      </x:c>
      <x:c r="C92" s="15" t="s">
        <x:v>381</x:v>
      </x:c>
      <x:c r="D92" s="15" t="s">
        <x:v>168</x:v>
      </x:c>
      <x:c r="E92" s="15" t="s">
        <x:v>190</x:v>
      </x:c>
      <x:c r="F92" s="15"/>
      <x:c r="G92" s="152" t="s">
        <x:v>267</x:v>
      </x:c>
      <x:c r="H92" s="149"/>
      <x:c r="I92" s="150"/>
      <x:c r="J92" s="150"/>
      <x:c r="K92" s="150"/>
      <x:c r="L92" s="178"/>
      <x:c r="M92" s="146"/>
      <x:c r="N92" s="137">
        <x:v>2</x:v>
      </x:c>
      <x:c r="O92" s="164"/>
      <x:c r="P92" s="164"/>
      <x:c r="Q92" s="164"/>
      <x:c r="R92" s="178" t="s">
        <x:v>223</x:v>
      </x:c>
      <x:c r="S92" s="212" t="s">
        <x:v>215</x:v>
      </x:c>
    </x:row>
    <x:row r="93" spans="1:19" s="9" customFormat="1" customHeight="1">
      <x:c r="A93" s="73">
        <x:v>88</x:v>
      </x:c>
      <x:c r="B93" s="15" t="s">
        <x:v>362</x:v>
      </x:c>
      <x:c r="C93" s="15" t="s">
        <x:v>285</x:v>
      </x:c>
      <x:c r="D93" s="15" t="s">
        <x:v>273</x:v>
      </x:c>
      <x:c r="E93" s="15" t="s">
        <x:v>109</x:v>
      </x:c>
      <x:c r="F93" s="15"/>
      <x:c r="G93" s="152" t="s">
        <x:v>267</x:v>
      </x:c>
      <x:c r="H93" s="149">
        <x:v>2</x:v>
      </x:c>
      <x:c r="I93" s="150"/>
      <x:c r="J93" s="150"/>
      <x:c r="K93" s="150"/>
      <x:c r="L93" s="178" t="s">
        <x:v>158</x:v>
      </x:c>
      <x:c r="M93" s="211" t="s">
        <x:v>215</x:v>
      </x:c>
      <x:c r="N93" s="137"/>
      <x:c r="O93" s="164"/>
      <x:c r="P93" s="164"/>
      <x:c r="Q93" s="164"/>
      <x:c r="R93" s="178"/>
      <x:c r="S93" s="185"/>
    </x:row>
    <x:row r="94" spans="1:19" s="9" customFormat="1" customHeight="1">
      <x:c r="A94" s="97">
        <x:v>89</x:v>
      </x:c>
      <x:c r="B94" s="38" t="s">
        <x:v>362</x:v>
      </x:c>
      <x:c r="C94" s="15" t="s">
        <x:v>381</x:v>
      </x:c>
      <x:c r="D94" s="15" t="s">
        <x:v>210</x:v>
      </x:c>
      <x:c r="E94" s="15" t="s">
        <x:v>56</x:v>
      </x:c>
      <x:c r="F94" s="15"/>
      <x:c r="G94" s="152" t="s">
        <x:v>267</x:v>
      </x:c>
      <x:c r="H94" s="149"/>
      <x:c r="I94" s="150"/>
      <x:c r="J94" s="150">
        <x:v>2</x:v>
      </x:c>
      <x:c r="K94" s="150"/>
      <x:c r="L94" s="178" t="s">
        <x:v>230</x:v>
      </x:c>
      <x:c r="M94" s="211" t="s">
        <x:v>188</x:v>
      </x:c>
      <x:c r="N94" s="137"/>
      <x:c r="O94" s="164"/>
      <x:c r="P94" s="164"/>
      <x:c r="Q94" s="164"/>
      <x:c r="R94" s="178"/>
      <x:c r="S94" s="185"/>
    </x:row>
    <x:row r="95" spans="1:19" s="9" customFormat="1" customHeight="1">
      <x:c r="A95" s="73">
        <x:v>90</x:v>
      </x:c>
      <x:c r="B95" s="15" t="s">
        <x:v>362</x:v>
      </x:c>
      <x:c r="C95" s="15" t="s">
        <x:v>285</x:v>
      </x:c>
      <x:c r="D95" s="15" t="s">
        <x:v>179</x:v>
      </x:c>
      <x:c r="E95" s="15" t="s">
        <x:v>81</x:v>
      </x:c>
      <x:c r="F95" s="15"/>
      <x:c r="G95" s="152" t="s">
        <x:v>267</x:v>
      </x:c>
      <x:c r="H95" s="149"/>
      <x:c r="I95" s="150"/>
      <x:c r="J95" s="150"/>
      <x:c r="K95" s="150">
        <x:v>1</x:v>
      </x:c>
      <x:c r="L95" s="178" t="s">
        <x:v>201</x:v>
      </x:c>
      <x:c r="M95" s="211" t="s">
        <x:v>230</x:v>
      </x:c>
      <x:c r="N95" s="137"/>
      <x:c r="O95" s="164"/>
      <x:c r="P95" s="164"/>
      <x:c r="Q95" s="164"/>
      <x:c r="R95" s="178"/>
      <x:c r="S95" s="185"/>
    </x:row>
    <x:row r="96" spans="1:19" s="9" customFormat="1" customHeight="1">
      <x:c r="A96" s="97">
        <x:v>91</x:v>
      </x:c>
      <x:c r="B96" s="54" t="s">
        <x:v>362</x:v>
      </x:c>
      <x:c r="C96" s="54" t="s">
        <x:v>275</x:v>
      </x:c>
      <x:c r="D96" s="61" t="s">
        <x:v>179</x:v>
      </x:c>
      <x:c r="E96" s="61" t="s">
        <x:v>290</x:v>
      </x:c>
      <x:c r="F96" s="15"/>
      <x:c r="G96" s="151" t="s">
        <x:v>272</x:v>
      </x:c>
      <x:c r="H96" s="171"/>
      <x:c r="I96" s="175"/>
      <x:c r="J96" s="175"/>
      <x:c r="K96" s="175"/>
      <x:c r="L96" s="178"/>
      <x:c r="M96" s="175"/>
      <x:c r="N96" s="173"/>
      <x:c r="O96" s="175"/>
      <x:c r="P96" s="175"/>
      <x:c r="Q96" s="175"/>
      <x:c r="R96" s="178"/>
      <x:c r="S96" s="171"/>
    </x:row>
    <x:row r="97" spans="1:19" s="9" customFormat="1" customHeight="1">
      <x:c r="A97" s="73">
        <x:v>92</x:v>
      </x:c>
      <x:c r="B97" s="54" t="s">
        <x:v>362</x:v>
      </x:c>
      <x:c r="C97" s="54" t="s">
        <x:v>275</x:v>
      </x:c>
      <x:c r="D97" s="54" t="s">
        <x:v>217</x:v>
      </x:c>
      <x:c r="E97" s="54" t="s">
        <x:v>220</x:v>
      </x:c>
      <x:c r="F97" s="15"/>
      <x:c r="G97" s="151" t="s">
        <x:v>272</x:v>
      </x:c>
      <x:c r="H97" s="171"/>
      <x:c r="I97" s="175"/>
      <x:c r="J97" s="175"/>
      <x:c r="K97" s="175"/>
      <x:c r="L97" s="178"/>
      <x:c r="M97" s="175"/>
      <x:c r="N97" s="173"/>
      <x:c r="O97" s="175"/>
      <x:c r="P97" s="175"/>
      <x:c r="Q97" s="175"/>
      <x:c r="R97" s="178"/>
      <x:c r="S97" s="171"/>
    </x:row>
    <x:row r="98" spans="1:19" s="9" customFormat="1" customHeight="1">
      <x:c r="A98" s="97">
        <x:v>93</x:v>
      </x:c>
      <x:c r="B98" s="54" t="s">
        <x:v>362</x:v>
      </x:c>
      <x:c r="C98" s="54" t="s">
        <x:v>275</x:v>
      </x:c>
      <x:c r="D98" s="54" t="s">
        <x:v>171</x:v>
      </x:c>
      <x:c r="E98" s="54" t="s">
        <x:v>228</x:v>
      </x:c>
      <x:c r="F98" s="15"/>
      <x:c r="G98" s="151" t="s">
        <x:v>272</x:v>
      </x:c>
      <x:c r="H98" s="171"/>
      <x:c r="I98" s="175"/>
      <x:c r="J98" s="175"/>
      <x:c r="K98" s="175"/>
      <x:c r="L98" s="178"/>
      <x:c r="M98" s="175"/>
      <x:c r="N98" s="173"/>
      <x:c r="O98" s="175"/>
      <x:c r="P98" s="175"/>
      <x:c r="Q98" s="175"/>
      <x:c r="R98" s="178"/>
      <x:c r="S98" s="171"/>
    </x:row>
    <x:row r="99" spans="1:19" s="9" customFormat="1" customHeight="1">
      <x:c r="A99" s="73">
        <x:v>94</x:v>
      </x:c>
      <x:c r="B99" s="54" t="s">
        <x:v>362</x:v>
      </x:c>
      <x:c r="C99" s="54" t="s">
        <x:v>275</x:v>
      </x:c>
      <x:c r="D99" s="54" t="s">
        <x:v>167</x:v>
      </x:c>
      <x:c r="E99" s="54" t="s">
        <x:v>286</x:v>
      </x:c>
      <x:c r="F99" s="15"/>
      <x:c r="G99" s="151" t="s">
        <x:v>272</x:v>
      </x:c>
      <x:c r="H99" s="171"/>
      <x:c r="I99" s="175"/>
      <x:c r="J99" s="175"/>
      <x:c r="K99" s="175"/>
      <x:c r="L99" s="178"/>
      <x:c r="M99" s="175"/>
      <x:c r="N99" s="173"/>
      <x:c r="O99" s="175"/>
      <x:c r="P99" s="175"/>
      <x:c r="Q99" s="175"/>
      <x:c r="R99" s="178"/>
      <x:c r="S99" s="171"/>
    </x:row>
    <x:row r="100" spans="1:19" s="9" customFormat="1" customHeight="1">
      <x:c r="A100" s="97">
        <x:v>95</x:v>
      </x:c>
      <x:c r="B100" s="38" t="s">
        <x:v>362</x:v>
      </x:c>
      <x:c r="C100" s="15" t="s">
        <x:v>285</x:v>
      </x:c>
      <x:c r="D100" s="15" t="s">
        <x:v>217</x:v>
      </x:c>
      <x:c r="E100" s="15" t="s">
        <x:v>129</x:v>
      </x:c>
      <x:c r="F100" s="15"/>
      <x:c r="G100" s="152" t="s">
        <x:v>267</x:v>
      </x:c>
      <x:c r="H100" s="149"/>
      <x:c r="I100" s="150">
        <x:v>3</x:v>
      </x:c>
      <x:c r="J100" s="150"/>
      <x:c r="K100" s="150"/>
      <x:c r="L100" s="178" t="s">
        <x:v>191</x:v>
      </x:c>
      <x:c r="M100" s="211" t="s">
        <x:v>158</x:v>
      </x:c>
      <x:c r="N100" s="137"/>
      <x:c r="O100" s="164"/>
      <x:c r="P100" s="164"/>
      <x:c r="Q100" s="164"/>
      <x:c r="R100" s="178"/>
      <x:c r="S100" s="185"/>
    </x:row>
    <x:row r="101" spans="1:19" s="9" customFormat="1" customHeight="1">
      <x:c r="A101" s="73">
        <x:v>96</x:v>
      </x:c>
      <x:c r="B101" s="78" t="s">
        <x:v>362</x:v>
      </x:c>
      <x:c r="C101" s="78" t="s">
        <x:v>381</x:v>
      </x:c>
      <x:c r="D101" s="78" t="s">
        <x:v>217</x:v>
      </x:c>
      <x:c r="E101" s="78" t="s">
        <x:v>212</x:v>
      </x:c>
      <x:c r="F101" s="78"/>
      <x:c r="G101" s="154" t="s">
        <x:v>267</x:v>
      </x:c>
      <x:c r="H101" s="176"/>
      <x:c r="I101" s="164"/>
      <x:c r="J101" s="164"/>
      <x:c r="K101" s="164"/>
      <x:c r="L101" s="164"/>
      <x:c r="M101" s="164"/>
      <x:c r="N101" s="137"/>
      <x:c r="O101" s="164"/>
      <x:c r="P101" s="164"/>
      <x:c r="Q101" s="164"/>
      <x:c r="R101" s="164"/>
      <x:c r="S101" s="176"/>
    </x:row>
    <x:row r="102" spans="1:19" s="9" customFormat="1" customHeight="1">
      <x:c r="A102" s="97">
        <x:v>97</x:v>
      </x:c>
      <x:c r="B102" s="15" t="s">
        <x:v>362</x:v>
      </x:c>
      <x:c r="C102" s="15" t="s">
        <x:v>381</x:v>
      </x:c>
      <x:c r="D102" s="15" t="s">
        <x:v>217</x:v>
      </x:c>
      <x:c r="E102" s="15" t="s">
        <x:v>22</x:v>
      </x:c>
      <x:c r="F102" s="15"/>
      <x:c r="G102" s="152" t="s">
        <x:v>267</x:v>
      </x:c>
      <x:c r="H102" s="149"/>
      <x:c r="I102" s="150"/>
      <x:c r="J102" s="150"/>
      <x:c r="K102" s="150"/>
      <x:c r="L102" s="178"/>
      <x:c r="M102" s="146"/>
      <x:c r="N102" s="137">
        <x:v>1</x:v>
      </x:c>
      <x:c r="O102" s="164"/>
      <x:c r="P102" s="164"/>
      <x:c r="Q102" s="164"/>
      <x:c r="R102" s="178" t="s">
        <x:v>215</x:v>
      </x:c>
      <x:c r="S102" s="212" t="s">
        <x:v>162</x:v>
      </x:c>
    </x:row>
    <x:row r="103" spans="1:19" s="9" customFormat="1" customHeight="1">
      <x:c r="A103" s="73">
        <x:v>98</x:v>
      </x:c>
      <x:c r="B103" s="38" t="s">
        <x:v>362</x:v>
      </x:c>
      <x:c r="C103" s="15" t="s">
        <x:v>381</x:v>
      </x:c>
      <x:c r="D103" s="15" t="s">
        <x:v>217</x:v>
      </x:c>
      <x:c r="E103" s="15" t="s">
        <x:v>61</x:v>
      </x:c>
      <x:c r="F103" s="15"/>
      <x:c r="G103" s="152" t="s">
        <x:v>267</x:v>
      </x:c>
      <x:c r="H103" s="149"/>
      <x:c r="I103" s="150"/>
      <x:c r="J103" s="150"/>
      <x:c r="K103" s="150"/>
      <x:c r="L103" s="178"/>
      <x:c r="M103" s="146"/>
      <x:c r="N103" s="137"/>
      <x:c r="O103" s="164"/>
      <x:c r="P103" s="164"/>
      <x:c r="Q103" s="164"/>
      <x:c r="R103" s="178"/>
      <x:c r="S103" s="185"/>
    </x:row>
    <x:row r="104" spans="1:19" s="9" customFormat="1" customHeight="1">
      <x:c r="A104" s="97">
        <x:v>99</x:v>
      </x:c>
      <x:c r="B104" s="15" t="s">
        <x:v>362</x:v>
      </x:c>
      <x:c r="C104" s="15" t="s">
        <x:v>285</x:v>
      </x:c>
      <x:c r="D104" s="15" t="s">
        <x:v>217</x:v>
      </x:c>
      <x:c r="E104" s="15" t="s">
        <x:v>153</x:v>
      </x:c>
      <x:c r="F104" s="15"/>
      <x:c r="G104" s="152" t="s">
        <x:v>267</x:v>
      </x:c>
      <x:c r="H104" s="149"/>
      <x:c r="I104" s="150"/>
      <x:c r="J104" s="150"/>
      <x:c r="K104" s="150"/>
      <x:c r="L104" s="178"/>
      <x:c r="M104" s="146"/>
      <x:c r="N104" s="137"/>
      <x:c r="O104" s="164"/>
      <x:c r="P104" s="164"/>
      <x:c r="Q104" s="164"/>
      <x:c r="R104" s="178"/>
      <x:c r="S104" s="185"/>
    </x:row>
    <x:row r="105" spans="1:19" s="9" customFormat="1" customHeight="1">
      <x:c r="A105" s="73">
        <x:v>100</x:v>
      </x:c>
      <x:c r="B105" s="15" t="s">
        <x:v>362</x:v>
      </x:c>
      <x:c r="C105" s="15" t="s">
        <x:v>381</x:v>
      </x:c>
      <x:c r="D105" s="15" t="s">
        <x:v>217</x:v>
      </x:c>
      <x:c r="E105" s="15" t="s">
        <x:v>114</x:v>
      </x:c>
      <x:c r="F105" s="15"/>
      <x:c r="G105" s="152" t="s">
        <x:v>267</x:v>
      </x:c>
      <x:c r="H105" s="149"/>
      <x:c r="I105" s="150"/>
      <x:c r="J105" s="150"/>
      <x:c r="K105" s="150"/>
      <x:c r="L105" s="178"/>
      <x:c r="M105" s="146"/>
      <x:c r="N105" s="137"/>
      <x:c r="O105" s="164"/>
      <x:c r="P105" s="164"/>
      <x:c r="Q105" s="164"/>
      <x:c r="R105" s="178"/>
      <x:c r="S105" s="185"/>
    </x:row>
    <x:row r="106" spans="1:19" s="9" customFormat="1" customHeight="1">
      <x:c r="A106" s="97">
        <x:v>101</x:v>
      </x:c>
      <x:c r="B106" s="72" t="s">
        <x:v>362</x:v>
      </x:c>
      <x:c r="C106" s="78" t="s">
        <x:v>359</x:v>
      </x:c>
      <x:c r="D106" s="78" t="s">
        <x:v>217</x:v>
      </x:c>
      <x:c r="E106" s="78" t="s">
        <x:v>116</x:v>
      </x:c>
      <x:c r="F106" s="78"/>
      <x:c r="G106" s="154" t="s">
        <x:v>267</x:v>
      </x:c>
      <x:c r="H106" s="176"/>
      <x:c r="I106" s="164"/>
      <x:c r="J106" s="164"/>
      <x:c r="K106" s="164"/>
      <x:c r="L106" s="164"/>
      <x:c r="M106" s="164"/>
      <x:c r="N106" s="137"/>
      <x:c r="O106" s="164"/>
      <x:c r="P106" s="164"/>
      <x:c r="Q106" s="164"/>
      <x:c r="R106" s="164"/>
      <x:c r="S106" s="176"/>
    </x:row>
    <x:row r="107" spans="1:19" s="9" customFormat="1" customHeight="1">
      <x:c r="A107" s="73">
        <x:v>102</x:v>
      </x:c>
      <x:c r="B107" s="15" t="s">
        <x:v>362</x:v>
      </x:c>
      <x:c r="C107" s="15" t="s">
        <x:v>381</x:v>
      </x:c>
      <x:c r="D107" s="15" t="s">
        <x:v>217</x:v>
      </x:c>
      <x:c r="E107" s="15" t="s">
        <x:v>92</x:v>
      </x:c>
      <x:c r="F107" s="15"/>
      <x:c r="G107" s="152" t="s">
        <x:v>267</x:v>
      </x:c>
      <x:c r="H107" s="149"/>
      <x:c r="I107" s="150"/>
      <x:c r="J107" s="150"/>
      <x:c r="K107" s="150"/>
      <x:c r="L107" s="178"/>
      <x:c r="M107" s="146"/>
      <x:c r="N107" s="137"/>
      <x:c r="O107" s="164">
        <x:v>2</x:v>
      </x:c>
      <x:c r="P107" s="164">
        <x:v>1</x:v>
      </x:c>
      <x:c r="Q107" s="164"/>
      <x:c r="R107" s="178" t="s">
        <x:v>188</x:v>
      </x:c>
      <x:c r="S107" s="212" t="s">
        <x:v>36</x:v>
      </x:c>
    </x:row>
    <x:row r="108" spans="1:19" s="9" customFormat="1" customHeight="1">
      <x:c r="A108" s="97">
        <x:v>103</x:v>
      </x:c>
      <x:c r="B108" s="78" t="s">
        <x:v>362</x:v>
      </x:c>
      <x:c r="C108" s="78" t="s">
        <x:v>285</x:v>
      </x:c>
      <x:c r="D108" s="78" t="s">
        <x:v>173</x:v>
      </x:c>
      <x:c r="E108" s="78" t="s">
        <x:v>70</x:v>
      </x:c>
      <x:c r="F108" s="78"/>
      <x:c r="G108" s="154" t="s">
        <x:v>267</x:v>
      </x:c>
      <x:c r="H108" s="176"/>
      <x:c r="I108" s="164"/>
      <x:c r="J108" s="164"/>
      <x:c r="K108" s="164"/>
      <x:c r="L108" s="164"/>
      <x:c r="M108" s="164"/>
      <x:c r="N108" s="137"/>
      <x:c r="O108" s="164"/>
      <x:c r="P108" s="164"/>
      <x:c r="Q108" s="164"/>
      <x:c r="R108" s="164"/>
      <x:c r="S108" s="176"/>
    </x:row>
    <x:row r="109" spans="1:19" s="37" customFormat="1" customHeight="1">
      <x:c r="A109" s="73">
        <x:v>104</x:v>
      </x:c>
      <x:c r="B109" s="97" t="s">
        <x:v>362</x:v>
      </x:c>
      <x:c r="C109" s="16" t="s">
        <x:v>381</x:v>
      </x:c>
      <x:c r="D109" s="16" t="s">
        <x:v>173</x:v>
      </x:c>
      <x:c r="E109" s="16" t="s">
        <x:v>85</x:v>
      </x:c>
      <x:c r="F109" s="16"/>
      <x:c r="G109" s="153" t="s">
        <x:v>267</x:v>
      </x:c>
      <x:c r="H109" s="149"/>
      <x:c r="I109" s="150"/>
      <x:c r="J109" s="150"/>
      <x:c r="K109" s="150"/>
      <x:c r="L109" s="178"/>
      <x:c r="M109" s="146"/>
      <x:c r="N109" s="137"/>
      <x:c r="O109" s="164">
        <x:v>2</x:v>
      </x:c>
      <x:c r="P109" s="164"/>
      <x:c r="Q109" s="164"/>
      <x:c r="R109" s="178" t="s">
        <x:v>36</x:v>
      </x:c>
      <x:c r="S109" s="212" t="s">
        <x:v>223</x:v>
      </x:c>
    </x:row>
    <x:row r="110" spans="1:19" s="9" customFormat="1" customHeight="1">
      <x:c r="A110" s="97">
        <x:v>105</x:v>
      </x:c>
      <x:c r="B110" s="15" t="s">
        <x:v>362</x:v>
      </x:c>
      <x:c r="C110" s="15" t="s">
        <x:v>285</x:v>
      </x:c>
      <x:c r="D110" s="15" t="s">
        <x:v>173</x:v>
      </x:c>
      <x:c r="E110" s="15" t="s">
        <x:v>128</x:v>
      </x:c>
      <x:c r="F110" s="15"/>
      <x:c r="G110" s="152" t="s">
        <x:v>267</x:v>
      </x:c>
      <x:c r="H110" s="149">
        <x:v>2</x:v>
      </x:c>
      <x:c r="I110" s="150"/>
      <x:c r="J110" s="150"/>
      <x:c r="K110" s="150"/>
      <x:c r="L110" s="178" t="s">
        <x:v>158</x:v>
      </x:c>
      <x:c r="M110" s="211" t="s">
        <x:v>215</x:v>
      </x:c>
      <x:c r="N110" s="137"/>
      <x:c r="O110" s="164"/>
      <x:c r="P110" s="164"/>
      <x:c r="Q110" s="164"/>
      <x:c r="R110" s="178"/>
      <x:c r="S110" s="212"/>
    </x:row>
    <x:row r="111" spans="1:19" s="9" customFormat="1" customHeight="1">
      <x:c r="A111" s="73">
        <x:v>106</x:v>
      </x:c>
      <x:c r="B111" s="15" t="s">
        <x:v>362</x:v>
      </x:c>
      <x:c r="C111" s="15" t="s">
        <x:v>285</x:v>
      </x:c>
      <x:c r="D111" s="15" t="s">
        <x:v>173</x:v>
      </x:c>
      <x:c r="E111" s="15" t="s">
        <x:v>115</x:v>
      </x:c>
      <x:c r="F111" s="15"/>
      <x:c r="G111" s="152" t="s">
        <x:v>267</x:v>
      </x:c>
      <x:c r="H111" s="149">
        <x:v>1</x:v>
      </x:c>
      <x:c r="I111" s="150">
        <x:v>1</x:v>
      </x:c>
      <x:c r="J111" s="150"/>
      <x:c r="K111" s="150"/>
      <x:c r="L111" s="178" t="s">
        <x:v>223</x:v>
      </x:c>
      <x:c r="M111" s="211" t="s">
        <x:v>158</x:v>
      </x:c>
      <x:c r="N111" s="137"/>
      <x:c r="O111" s="164"/>
      <x:c r="P111" s="164"/>
      <x:c r="Q111" s="164"/>
      <x:c r="R111" s="178"/>
      <x:c r="S111" s="212"/>
    </x:row>
    <x:row r="112" spans="1:19" s="9" customFormat="1" customHeight="1">
      <x:c r="A112" s="97">
        <x:v>107</x:v>
      </x:c>
      <x:c r="B112" s="38" t="s">
        <x:v>362</x:v>
      </x:c>
      <x:c r="C112" s="15" t="s">
        <x:v>381</x:v>
      </x:c>
      <x:c r="D112" s="15" t="s">
        <x:v>173</x:v>
      </x:c>
      <x:c r="E112" s="15" t="s">
        <x:v>18</x:v>
      </x:c>
      <x:c r="F112" s="15"/>
      <x:c r="G112" s="159" t="s">
        <x:v>267</x:v>
      </x:c>
      <x:c r="H112" s="149"/>
      <x:c r="I112" s="150"/>
      <x:c r="J112" s="150">
        <x:v>1</x:v>
      </x:c>
      <x:c r="K112" s="150"/>
      <x:c r="L112" s="178" t="s">
        <x:v>188</x:v>
      </x:c>
      <x:c r="M112" s="211" t="s">
        <x:v>36</x:v>
      </x:c>
      <x:c r="N112" s="137"/>
      <x:c r="O112" s="164"/>
      <x:c r="P112" s="164"/>
      <x:c r="Q112" s="164"/>
      <x:c r="R112" s="178"/>
      <x:c r="S112" s="212"/>
    </x:row>
    <x:row r="113" spans="1:19" s="9" customFormat="1" customHeight="1">
      <x:c r="A113" s="73">
        <x:v>108</x:v>
      </x:c>
      <x:c r="B113" s="15" t="s">
        <x:v>362</x:v>
      </x:c>
      <x:c r="C113" s="15" t="s">
        <x:v>381</x:v>
      </x:c>
      <x:c r="D113" s="15" t="s">
        <x:v>173</x:v>
      </x:c>
      <x:c r="E113" s="15" t="s">
        <x:v>48</x:v>
      </x:c>
      <x:c r="F113" s="47"/>
      <x:c r="G113" s="152" t="s">
        <x:v>267</x:v>
      </x:c>
      <x:c r="H113" s="149"/>
      <x:c r="I113" s="150"/>
      <x:c r="J113" s="150"/>
      <x:c r="K113" s="150"/>
      <x:c r="L113" s="178"/>
      <x:c r="M113" s="211"/>
      <x:c r="N113" s="137">
        <x:v>2</x:v>
      </x:c>
      <x:c r="O113" s="164"/>
      <x:c r="P113" s="164"/>
      <x:c r="Q113" s="164"/>
      <x:c r="R113" s="178" t="s">
        <x:v>158</x:v>
      </x:c>
      <x:c r="S113" s="212" t="s">
        <x:v>162</x:v>
      </x:c>
    </x:row>
    <x:row r="114" spans="1:19" s="9" customFormat="1" customHeight="1">
      <x:c r="A114" s="97">
        <x:v>109</x:v>
      </x:c>
      <x:c r="B114" s="15" t="s">
        <x:v>362</x:v>
      </x:c>
      <x:c r="C114" s="15" t="s">
        <x:v>285</x:v>
      </x:c>
      <x:c r="D114" s="15" t="s">
        <x:v>173</x:v>
      </x:c>
      <x:c r="E114" s="15" t="s">
        <x:v>51</x:v>
      </x:c>
      <x:c r="F114" s="15"/>
      <x:c r="G114" s="152" t="s">
        <x:v>267</x:v>
      </x:c>
      <x:c r="H114" s="149"/>
      <x:c r="I114" s="150"/>
      <x:c r="J114" s="150"/>
      <x:c r="K114" s="150"/>
      <x:c r="L114" s="178"/>
      <x:c r="M114" s="211"/>
      <x:c r="N114" s="137"/>
      <x:c r="O114" s="164"/>
      <x:c r="P114" s="164">
        <x:v>2</x:v>
      </x:c>
      <x:c r="Q114" s="164"/>
      <x:c r="R114" s="178" t="s">
        <x:v>230</x:v>
      </x:c>
      <x:c r="S114" s="212" t="s">
        <x:v>191</x:v>
      </x:c>
    </x:row>
    <x:row r="115" spans="1:19" s="9" customFormat="1" customHeight="1">
      <x:c r="A115" s="73">
        <x:v>110</x:v>
      </x:c>
      <x:c r="B115" s="38" t="s">
        <x:v>362</x:v>
      </x:c>
      <x:c r="C115" s="15" t="s">
        <x:v>381</x:v>
      </x:c>
      <x:c r="D115" s="15" t="s">
        <x:v>173</x:v>
      </x:c>
      <x:c r="E115" s="15" t="s">
        <x:v>46</x:v>
      </x:c>
      <x:c r="F115" s="15"/>
      <x:c r="G115" s="152" t="s">
        <x:v>267</x:v>
      </x:c>
      <x:c r="H115" s="149"/>
      <x:c r="I115" s="150"/>
      <x:c r="J115" s="150"/>
      <x:c r="K115" s="150"/>
      <x:c r="L115" s="178"/>
      <x:c r="M115" s="211"/>
      <x:c r="N115" s="137"/>
      <x:c r="O115" s="164"/>
      <x:c r="P115" s="164">
        <x:v>1</x:v>
      </x:c>
      <x:c r="Q115" s="164">
        <x:v>3</x:v>
      </x:c>
      <x:c r="R115" s="178" t="s">
        <x:v>238</x:v>
      </x:c>
      <x:c r="S115" s="212" t="s">
        <x:v>201</x:v>
      </x:c>
    </x:row>
    <x:row r="116" spans="1:19" s="9" customFormat="1" customHeight="1">
      <x:c r="A116" s="97">
        <x:v>111</x:v>
      </x:c>
      <x:c r="B116" s="15" t="s">
        <x:v>362</x:v>
      </x:c>
      <x:c r="C116" s="15" t="s">
        <x:v>285</x:v>
      </x:c>
      <x:c r="D116" s="15" t="s">
        <x:v>171</x:v>
      </x:c>
      <x:c r="E116" s="15" t="s">
        <x:v>24</x:v>
      </x:c>
      <x:c r="F116" s="15"/>
      <x:c r="G116" s="152" t="s">
        <x:v>267</x:v>
      </x:c>
      <x:c r="H116" s="149"/>
      <x:c r="I116" s="150"/>
      <x:c r="J116" s="150"/>
      <x:c r="K116" s="150"/>
      <x:c r="L116" s="178"/>
      <x:c r="M116" s="211"/>
      <x:c r="N116" s="137"/>
      <x:c r="O116" s="164">
        <x:v>1</x:v>
      </x:c>
      <x:c r="P116" s="164">
        <x:v>1</x:v>
      </x:c>
      <x:c r="Q116" s="164"/>
      <x:c r="R116" s="178" t="s">
        <x:v>188</x:v>
      </x:c>
      <x:c r="S116" s="212" t="s">
        <x:v>175</x:v>
      </x:c>
    </x:row>
    <x:row r="117" spans="1:19" s="9" customFormat="1" customHeight="1">
      <x:c r="A117" s="73">
        <x:v>112</x:v>
      </x:c>
      <x:c r="B117" s="15" t="s">
        <x:v>362</x:v>
      </x:c>
      <x:c r="C117" s="16" t="s">
        <x:v>381</x:v>
      </x:c>
      <x:c r="D117" s="15" t="s">
        <x:v>171</x:v>
      </x:c>
      <x:c r="E117" s="15" t="s">
        <x:v>83</x:v>
      </x:c>
      <x:c r="F117" s="15"/>
      <x:c r="G117" s="152" t="s">
        <x:v>267</x:v>
      </x:c>
      <x:c r="H117" s="149"/>
      <x:c r="I117" s="150"/>
      <x:c r="J117" s="150">
        <x:v>4</x:v>
      </x:c>
      <x:c r="K117" s="150"/>
      <x:c r="L117" s="178" t="s">
        <x:v>230</x:v>
      </x:c>
      <x:c r="M117" s="211" t="s">
        <x:v>188</x:v>
      </x:c>
      <x:c r="N117" s="137"/>
      <x:c r="O117" s="164"/>
      <x:c r="P117" s="164"/>
      <x:c r="Q117" s="164"/>
      <x:c r="R117" s="178"/>
      <x:c r="S117" s="212"/>
    </x:row>
    <x:row r="118" spans="1:19" s="9" customFormat="1" customHeight="1">
      <x:c r="A118" s="97">
        <x:v>113</x:v>
      </x:c>
      <x:c r="B118" s="38" t="s">
        <x:v>362</x:v>
      </x:c>
      <x:c r="C118" s="15" t="s">
        <x:v>285</x:v>
      </x:c>
      <x:c r="D118" s="15" t="s">
        <x:v>171</x:v>
      </x:c>
      <x:c r="E118" s="15" t="s">
        <x:v>19</x:v>
      </x:c>
      <x:c r="F118" s="15"/>
      <x:c r="G118" s="152" t="s">
        <x:v>267</x:v>
      </x:c>
      <x:c r="H118" s="149">
        <x:v>3</x:v>
      </x:c>
      <x:c r="I118" s="150"/>
      <x:c r="J118" s="150"/>
      <x:c r="K118" s="150"/>
      <x:c r="L118" s="178" t="s">
        <x:v>158</x:v>
      </x:c>
      <x:c r="M118" s="211" t="s">
        <x:v>215</x:v>
      </x:c>
      <x:c r="N118" s="137"/>
      <x:c r="O118" s="164"/>
      <x:c r="P118" s="164"/>
      <x:c r="Q118" s="164"/>
      <x:c r="R118" s="178"/>
      <x:c r="S118" s="212"/>
    </x:row>
    <x:row r="119" spans="1:19" s="9" customFormat="1" customHeight="1">
      <x:c r="A119" s="73">
        <x:v>114</x:v>
      </x:c>
      <x:c r="B119" s="15" t="s">
        <x:v>362</x:v>
      </x:c>
      <x:c r="C119" s="15" t="s">
        <x:v>359</x:v>
      </x:c>
      <x:c r="D119" s="15" t="s">
        <x:v>171</x:v>
      </x:c>
      <x:c r="E119" s="15" t="s">
        <x:v>15</x:v>
      </x:c>
      <x:c r="F119" s="15"/>
      <x:c r="G119" s="152" t="s">
        <x:v>267</x:v>
      </x:c>
      <x:c r="H119" s="149"/>
      <x:c r="I119" s="150"/>
      <x:c r="J119" s="150"/>
      <x:c r="K119" s="150"/>
      <x:c r="L119" s="178"/>
      <x:c r="M119" s="211"/>
      <x:c r="N119" s="137"/>
      <x:c r="O119" s="164"/>
      <x:c r="P119" s="164"/>
      <x:c r="Q119" s="164">
        <x:v>2</x:v>
      </x:c>
      <x:c r="R119" s="178" t="s">
        <x:v>201</x:v>
      </x:c>
      <x:c r="S119" s="212" t="s">
        <x:v>201</x:v>
      </x:c>
    </x:row>
    <x:row r="120" spans="1:19" s="126" customFormat="1" customHeight="1">
      <x:c r="A120" s="97">
        <x:v>115</x:v>
      </x:c>
      <x:c r="B120" s="15" t="s">
        <x:v>362</x:v>
      </x:c>
      <x:c r="C120" s="15" t="s">
        <x:v>285</x:v>
      </x:c>
      <x:c r="D120" s="15" t="s">
        <x:v>171</x:v>
      </x:c>
      <x:c r="E120" s="15" t="s">
        <x:v>20</x:v>
      </x:c>
      <x:c r="F120" s="15"/>
      <x:c r="G120" s="152" t="s">
        <x:v>267</x:v>
      </x:c>
      <x:c r="H120" s="169"/>
      <x:c r="I120" s="150">
        <x:v>1</x:v>
      </x:c>
      <x:c r="J120" s="150">
        <x:v>1</x:v>
      </x:c>
      <x:c r="K120" s="170"/>
      <x:c r="L120" s="210" t="s">
        <x:v>188</x:v>
      </x:c>
      <x:c r="M120" s="211" t="s">
        <x:v>36</x:v>
      </x:c>
      <x:c r="N120" s="166"/>
      <x:c r="O120" s="167"/>
      <x:c r="P120" s="167"/>
      <x:c r="Q120" s="167"/>
      <x:c r="R120" s="210"/>
      <x:c r="S120" s="212"/>
    </x:row>
    <x:row r="121" spans="1:19" s="9" customFormat="1" customHeight="1">
      <x:c r="A121" s="73">
        <x:v>116</x:v>
      </x:c>
      <x:c r="B121" s="38" t="s">
        <x:v>362</x:v>
      </x:c>
      <x:c r="C121" s="15" t="s">
        <x:v>381</x:v>
      </x:c>
      <x:c r="D121" s="15" t="s">
        <x:v>167</x:v>
      </x:c>
      <x:c r="E121" s="15" t="s">
        <x:v>221</x:v>
      </x:c>
      <x:c r="F121" s="15"/>
      <x:c r="G121" s="152" t="s">
        <x:v>267</x:v>
      </x:c>
      <x:c r="H121" s="149"/>
      <x:c r="I121" s="150"/>
      <x:c r="J121" s="150"/>
      <x:c r="K121" s="150"/>
      <x:c r="L121" s="178"/>
      <x:c r="M121" s="211"/>
      <x:c r="N121" s="137"/>
      <x:c r="O121" s="164"/>
      <x:c r="P121" s="164">
        <x:v>6</x:v>
      </x:c>
      <x:c r="Q121" s="164">
        <x:v>6</x:v>
      </x:c>
      <x:c r="R121" s="178" t="s">
        <x:v>238</x:v>
      </x:c>
      <x:c r="S121" s="212" t="s">
        <x:v>191</x:v>
      </x:c>
    </x:row>
    <x:row r="122" spans="1:19" s="9" customFormat="1" customHeight="1">
      <x:c r="A122" s="97">
        <x:v>117</x:v>
      </x:c>
      <x:c r="B122" s="54" t="s">
        <x:v>362</x:v>
      </x:c>
      <x:c r="C122" s="54" t="s">
        <x:v>265</x:v>
      </x:c>
      <x:c r="D122" s="54" t="s">
        <x:v>246</x:v>
      </x:c>
      <x:c r="E122" s="54" t="s">
        <x:v>242</x:v>
      </x:c>
      <x:c r="F122" s="15"/>
      <x:c r="G122" s="151" t="s">
        <x:v>272</x:v>
      </x:c>
      <x:c r="H122" s="171"/>
      <x:c r="I122" s="175"/>
      <x:c r="J122" s="175"/>
      <x:c r="K122" s="175"/>
      <x:c r="L122" s="178"/>
      <x:c r="M122" s="233"/>
      <x:c r="N122" s="173"/>
      <x:c r="O122" s="175"/>
      <x:c r="P122" s="175"/>
      <x:c r="Q122" s="175"/>
      <x:c r="R122" s="178"/>
      <x:c r="S122" s="232"/>
    </x:row>
    <x:row r="123" spans="1:19" s="8" customFormat="1" customHeight="1">
      <x:c r="A123" s="73">
        <x:v>118</x:v>
      </x:c>
      <x:c r="B123" s="86" t="s">
        <x:v>362</x:v>
      </x:c>
      <x:c r="C123" s="86" t="s">
        <x:v>285</x:v>
      </x:c>
      <x:c r="D123" s="86" t="s">
        <x:v>356</x:v>
      </x:c>
      <x:c r="E123" s="86" t="s">
        <x:v>183</x:v>
      </x:c>
      <x:c r="F123" s="86"/>
      <x:c r="G123" s="160" t="s">
        <x:v>267</x:v>
      </x:c>
      <x:c r="H123" s="149"/>
      <x:c r="I123" s="150"/>
      <x:c r="J123" s="150">
        <x:v>1</x:v>
      </x:c>
      <x:c r="K123" s="150"/>
      <x:c r="L123" s="150" t="s">
        <x:v>191</x:v>
      </x:c>
      <x:c r="M123" s="214" t="s">
        <x:v>191</x:v>
      </x:c>
      <x:c r="N123" s="142"/>
      <x:c r="O123" s="150"/>
      <x:c r="P123" s="150"/>
      <x:c r="Q123" s="150">
        <x:v>1</x:v>
      </x:c>
      <x:c r="R123" s="150" t="s">
        <x:v>230</x:v>
      </x:c>
      <x:c r="S123" s="213" t="s">
        <x:v>191</x:v>
      </x:c>
    </x:row>
    <x:row r="124" spans="1:19" s="9" customFormat="1" customHeight="1">
      <x:c r="A124" s="97">
        <x:v>119</x:v>
      </x:c>
      <x:c r="B124" s="15" t="s">
        <x:v>362</x:v>
      </x:c>
      <x:c r="C124" s="15" t="s">
        <x:v>285</x:v>
      </x:c>
      <x:c r="D124" s="15" t="s">
        <x:v>217</x:v>
      </x:c>
      <x:c r="E124" s="15" t="s">
        <x:v>140</x:v>
      </x:c>
      <x:c r="F124" s="15"/>
      <x:c r="G124" s="152" t="s">
        <x:v>267</x:v>
      </x:c>
      <x:c r="H124" s="149"/>
      <x:c r="I124" s="150"/>
      <x:c r="J124" s="150">
        <x:v>1</x:v>
      </x:c>
      <x:c r="K124" s="150">
        <x:v>2</x:v>
      </x:c>
      <x:c r="L124" s="178" t="s">
        <x:v>238</x:v>
      </x:c>
      <x:c r="M124" s="211" t="s">
        <x:v>230</x:v>
      </x:c>
      <x:c r="N124" s="137"/>
      <x:c r="O124" s="164"/>
      <x:c r="P124" s="164"/>
      <x:c r="Q124" s="164"/>
      <x:c r="R124" s="178"/>
      <x:c r="S124" s="212"/>
    </x:row>
    <x:row r="125" spans="1:19" s="9" customFormat="1" customHeight="1">
      <x:c r="A125" s="73">
        <x:v>120</x:v>
      </x:c>
      <x:c r="B125" s="38" t="s">
        <x:v>362</x:v>
      </x:c>
      <x:c r="C125" s="15" t="s">
        <x:v>285</x:v>
      </x:c>
      <x:c r="D125" s="15" t="s">
        <x:v>173</x:v>
      </x:c>
      <x:c r="E125" s="15" t="s">
        <x:v>71</x:v>
      </x:c>
      <x:c r="F125" s="15"/>
      <x:c r="G125" s="152" t="s">
        <x:v>267</x:v>
      </x:c>
      <x:c r="H125" s="149"/>
      <x:c r="I125" s="150"/>
      <x:c r="J125" s="150"/>
      <x:c r="K125" s="150"/>
      <x:c r="L125" s="178"/>
      <x:c r="M125" s="146"/>
      <x:c r="N125" s="137"/>
      <x:c r="O125" s="164"/>
      <x:c r="P125" s="164"/>
      <x:c r="Q125" s="164">
        <x:v>2</x:v>
      </x:c>
      <x:c r="R125" s="178" t="s">
        <x:v>230</x:v>
      </x:c>
      <x:c r="S125" s="212" t="s">
        <x:v>191</x:v>
      </x:c>
    </x:row>
    <x:row r="126" spans="1:19" s="9" customFormat="1" customHeight="1">
      <x:c r="A126" s="97">
        <x:v>121</x:v>
      </x:c>
      <x:c r="B126" s="278" t="s">
        <x:v>362</x:v>
      </x:c>
      <x:c r="C126" s="104" t="s">
        <x:v>381</x:v>
      </x:c>
      <x:c r="D126" s="104" t="s">
        <x:v>173</x:v>
      </x:c>
      <x:c r="E126" s="104" t="s">
        <x:v>39</x:v>
      </x:c>
      <x:c r="F126" s="104"/>
      <x:c r="G126" s="161" t="s">
        <x:v>267</x:v>
      </x:c>
      <x:c r="H126" s="184"/>
      <x:c r="I126" s="148"/>
      <x:c r="J126" s="148"/>
      <x:c r="K126" s="148"/>
      <x:c r="L126" s="148"/>
      <x:c r="M126" s="148"/>
      <x:c r="N126" s="138"/>
      <x:c r="O126" s="148"/>
      <x:c r="P126" s="148">
        <x:v>2</x:v>
      </x:c>
      <x:c r="Q126" s="148">
        <x:v>2</x:v>
      </x:c>
      <x:c r="R126" s="148" t="s">
        <x:v>238</x:v>
      </x:c>
      <x:c r="S126" s="241" t="s">
        <x:v>201</x:v>
      </x:c>
    </x:row>
    <x:row r="127" spans="1:25" s="9" customFormat="1" customHeight="1">
      <x:c r="A127" s="73">
        <x:v>122</x:v>
      </x:c>
      <x:c r="B127" s="59" t="s">
        <x:v>367</x:v>
      </x:c>
      <x:c r="C127" s="54" t="s">
        <x:v>275</x:v>
      </x:c>
      <x:c r="D127" s="54" t="s">
        <x:v>246</x:v>
      </x:c>
      <x:c r="E127" s="54" t="s">
        <x:v>38</x:v>
      </x:c>
      <x:c r="F127" s="15"/>
      <x:c r="G127" s="151" t="s">
        <x:v>272</x:v>
      </x:c>
      <x:c r="H127" s="171"/>
      <x:c r="I127" s="175"/>
      <x:c r="J127" s="175"/>
      <x:c r="K127" s="175"/>
      <x:c r="L127" s="178"/>
      <x:c r="M127" s="242"/>
      <x:c r="N127" s="173"/>
      <x:c r="O127" s="175"/>
      <x:c r="P127" s="175"/>
      <x:c r="Q127" s="175"/>
      <x:c r="R127" s="178"/>
      <x:c r="S127" s="232"/>
      <x:c r="T127" s="37"/>
      <x:c r="U127" s="37"/>
      <x:c r="V127" s="37"/>
      <x:c r="W127" s="37"/>
      <x:c r="X127" s="37"/>
      <x:c r="Y127" s="37"/>
    </x:row>
    <x:row r="128" spans="1:25" s="9" customFormat="1" customHeight="1">
      <x:c r="A128" s="97">
        <x:v>123</x:v>
      </x:c>
      <x:c r="B128" s="54" t="s">
        <x:v>367</x:v>
      </x:c>
      <x:c r="C128" s="54" t="s">
        <x:v>275</x:v>
      </x:c>
      <x:c r="D128" s="54" t="s">
        <x:v>179</x:v>
      </x:c>
      <x:c r="E128" s="54" t="s">
        <x:v>198</x:v>
      </x:c>
      <x:c r="F128" s="15"/>
      <x:c r="G128" s="151" t="s">
        <x:v>272</x:v>
      </x:c>
      <x:c r="H128" s="171"/>
      <x:c r="I128" s="175">
        <x:v>1</x:v>
      </x:c>
      <x:c r="J128" s="175"/>
      <x:c r="K128" s="175"/>
      <x:c r="L128" s="178" t="s">
        <x:v>223</x:v>
      </x:c>
      <x:c r="M128" s="242" t="s">
        <x:v>158</x:v>
      </x:c>
      <x:c r="N128" s="173"/>
      <x:c r="O128" s="175"/>
      <x:c r="P128" s="175"/>
      <x:c r="Q128" s="175"/>
      <x:c r="R128" s="178"/>
      <x:c r="S128" s="232"/>
      <x:c r="T128" s="37"/>
      <x:c r="U128" s="37"/>
      <x:c r="V128" s="37"/>
      <x:c r="W128" s="37"/>
      <x:c r="X128" s="37"/>
      <x:c r="Y128" s="37"/>
    </x:row>
    <x:row r="129" spans="1:25" s="9" customFormat="1" customHeight="1">
      <x:c r="A129" s="73">
        <x:v>124</x:v>
      </x:c>
      <x:c r="B129" s="54" t="s">
        <x:v>367</x:v>
      </x:c>
      <x:c r="C129" s="54" t="s">
        <x:v>275</x:v>
      </x:c>
      <x:c r="D129" s="54" t="s">
        <x:v>217</x:v>
      </x:c>
      <x:c r="E129" s="54" t="s">
        <x:v>249</x:v>
      </x:c>
      <x:c r="F129" s="15"/>
      <x:c r="G129" s="151" t="s">
        <x:v>272</x:v>
      </x:c>
      <x:c r="H129" s="171"/>
      <x:c r="I129" s="175"/>
      <x:c r="J129" s="175"/>
      <x:c r="K129" s="175"/>
      <x:c r="L129" s="178"/>
      <x:c r="M129" s="242"/>
      <x:c r="N129" s="173"/>
      <x:c r="O129" s="175"/>
      <x:c r="P129" s="175"/>
      <x:c r="Q129" s="175"/>
      <x:c r="R129" s="178"/>
      <x:c r="S129" s="232"/>
      <x:c r="T129" s="37"/>
      <x:c r="U129" s="37"/>
      <x:c r="V129" s="37"/>
      <x:c r="W129" s="37"/>
      <x:c r="X129" s="37"/>
      <x:c r="Y129" s="37"/>
    </x:row>
    <x:row r="130" spans="1:19" s="37" customFormat="1" customHeight="1">
      <x:c r="A130" s="97">
        <x:v>125</x:v>
      </x:c>
      <x:c r="B130" s="54" t="s">
        <x:v>367</x:v>
      </x:c>
      <x:c r="C130" s="54" t="s">
        <x:v>252</x:v>
      </x:c>
      <x:c r="D130" s="54" t="s">
        <x:v>173</x:v>
      </x:c>
      <x:c r="E130" s="54" t="s">
        <x:v>199</x:v>
      </x:c>
      <x:c r="F130" s="16"/>
      <x:c r="G130" s="151" t="s">
        <x:v>272</x:v>
      </x:c>
      <x:c r="H130" s="171"/>
      <x:c r="I130" s="175"/>
      <x:c r="J130" s="175"/>
      <x:c r="K130" s="175"/>
      <x:c r="L130" s="178"/>
      <x:c r="M130" s="242"/>
      <x:c r="N130" s="173"/>
      <x:c r="O130" s="175"/>
      <x:c r="P130" s="175"/>
      <x:c r="Q130" s="175"/>
      <x:c r="R130" s="178"/>
      <x:c r="S130" s="232"/>
    </x:row>
    <x:row r="131" spans="1:25" s="9" customFormat="1" customHeight="1">
      <x:c r="A131" s="73">
        <x:v>126</x:v>
      </x:c>
      <x:c r="B131" s="54" t="s">
        <x:v>367</x:v>
      </x:c>
      <x:c r="C131" s="54" t="s">
        <x:v>252</x:v>
      </x:c>
      <x:c r="D131" s="54" t="s">
        <x:v>248</x:v>
      </x:c>
      <x:c r="E131" s="54" t="s">
        <x:v>203</x:v>
      </x:c>
      <x:c r="F131" s="63"/>
      <x:c r="G131" s="151" t="s">
        <x:v>272</x:v>
      </x:c>
      <x:c r="H131" s="171"/>
      <x:c r="I131" s="175"/>
      <x:c r="J131" s="175"/>
      <x:c r="K131" s="175"/>
      <x:c r="L131" s="178"/>
      <x:c r="M131" s="242"/>
      <x:c r="N131" s="173"/>
      <x:c r="O131" s="175"/>
      <x:c r="P131" s="175"/>
      <x:c r="Q131" s="175"/>
      <x:c r="R131" s="178"/>
      <x:c r="S131" s="232"/>
      <x:c r="T131" s="37"/>
      <x:c r="U131" s="37"/>
      <x:c r="V131" s="37"/>
      <x:c r="W131" s="37"/>
      <x:c r="X131" s="37"/>
      <x:c r="Y131" s="37"/>
    </x:row>
    <x:row r="132" spans="1:25" s="9" customFormat="1" customHeight="1">
      <x:c r="A132" s="97">
        <x:v>127</x:v>
      </x:c>
      <x:c r="B132" s="38" t="s">
        <x:v>367</x:v>
      </x:c>
      <x:c r="C132" s="15" t="s">
        <x:v>285</x:v>
      </x:c>
      <x:c r="D132" s="15" t="s">
        <x:v>250</x:v>
      </x:c>
      <x:c r="E132" s="15" t="s">
        <x:v>177</x:v>
      </x:c>
      <x:c r="F132" s="16"/>
      <x:c r="G132" s="152" t="s">
        <x:v>267</x:v>
      </x:c>
      <x:c r="H132" s="149"/>
      <x:c r="I132" s="150"/>
      <x:c r="J132" s="150"/>
      <x:c r="K132" s="150"/>
      <x:c r="L132" s="178"/>
      <x:c r="M132" s="242"/>
      <x:c r="N132" s="137"/>
      <x:c r="O132" s="164"/>
      <x:c r="P132" s="164"/>
      <x:c r="Q132" s="164"/>
      <x:c r="R132" s="178"/>
      <x:c r="S132" s="232"/>
      <x:c r="T132" s="37"/>
      <x:c r="U132" s="37"/>
      <x:c r="V132" s="37"/>
      <x:c r="W132" s="37"/>
      <x:c r="X132" s="37"/>
      <x:c r="Y132" s="37"/>
    </x:row>
    <x:row r="133" spans="1:25" s="9" customFormat="1" customHeight="1">
      <x:c r="A133" s="73">
        <x:v>128</x:v>
      </x:c>
      <x:c r="B133" s="15" t="s">
        <x:v>367</x:v>
      </x:c>
      <x:c r="C133" s="16" t="s">
        <x:v>381</x:v>
      </x:c>
      <x:c r="D133" s="16" t="s">
        <x:v>248</x:v>
      </x:c>
      <x:c r="E133" s="16" t="s">
        <x:v>151</x:v>
      </x:c>
      <x:c r="F133" s="16"/>
      <x:c r="G133" s="153" t="s">
        <x:v>267</x:v>
      </x:c>
      <x:c r="H133" s="149"/>
      <x:c r="I133" s="150"/>
      <x:c r="J133" s="150"/>
      <x:c r="K133" s="150"/>
      <x:c r="L133" s="178"/>
      <x:c r="M133" s="242"/>
      <x:c r="N133" s="137"/>
      <x:c r="O133" s="164"/>
      <x:c r="P133" s="164"/>
      <x:c r="Q133" s="164"/>
      <x:c r="R133" s="178"/>
      <x:c r="S133" s="232"/>
      <x:c r="T133" s="37"/>
      <x:c r="U133" s="37"/>
      <x:c r="V133" s="37"/>
      <x:c r="W133" s="37"/>
      <x:c r="X133" s="37"/>
      <x:c r="Y133" s="37"/>
    </x:row>
    <x:row r="134" spans="1:25" s="9" customFormat="1" customHeight="1">
      <x:c r="A134" s="97">
        <x:v>129</x:v>
      </x:c>
      <x:c r="B134" s="15" t="s">
        <x:v>367</x:v>
      </x:c>
      <x:c r="C134" s="15" t="s">
        <x:v>381</x:v>
      </x:c>
      <x:c r="D134" s="16" t="s">
        <x:v>168</x:v>
      </x:c>
      <x:c r="E134" s="16" t="s">
        <x:v>243</x:v>
      </x:c>
      <x:c r="F134" s="16"/>
      <x:c r="G134" s="153" t="s">
        <x:v>267</x:v>
      </x:c>
      <x:c r="H134" s="149"/>
      <x:c r="I134" s="150"/>
      <x:c r="J134" s="150"/>
      <x:c r="K134" s="150"/>
      <x:c r="L134" s="178"/>
      <x:c r="M134" s="187"/>
      <x:c r="N134" s="137">
        <x:v>1</x:v>
      </x:c>
      <x:c r="O134" s="164"/>
      <x:c r="P134" s="164"/>
      <x:c r="Q134" s="164"/>
      <x:c r="R134" s="178" t="s">
        <x:v>162</x:v>
      </x:c>
      <x:c r="S134" s="212" t="s">
        <x:v>225</x:v>
      </x:c>
      <x:c r="T134" s="37"/>
      <x:c r="U134" s="37"/>
      <x:c r="V134" s="37"/>
      <x:c r="W134" s="37"/>
      <x:c r="X134" s="37"/>
      <x:c r="Y134" s="37"/>
    </x:row>
    <x:row r="135" spans="1:25" s="9" customFormat="1" customHeight="1">
      <x:c r="A135" s="73">
        <x:v>130</x:v>
      </x:c>
      <x:c r="B135" s="15" t="s">
        <x:v>367</x:v>
      </x:c>
      <x:c r="C135" s="15" t="s">
        <x:v>285</x:v>
      </x:c>
      <x:c r="D135" s="15" t="s">
        <x:v>210</x:v>
      </x:c>
      <x:c r="E135" s="15" t="s">
        <x:v>90</x:v>
      </x:c>
      <x:c r="F135" s="16"/>
      <x:c r="G135" s="152" t="s">
        <x:v>267</x:v>
      </x:c>
      <x:c r="H135" s="149"/>
      <x:c r="I135" s="150">
        <x:v>2</x:v>
      </x:c>
      <x:c r="J135" s="150"/>
      <x:c r="K135" s="150"/>
      <x:c r="L135" s="178" t="s">
        <x:v>36</x:v>
      </x:c>
      <x:c r="M135" s="211" t="s">
        <x:v>175</x:v>
      </x:c>
      <x:c r="N135" s="137"/>
      <x:c r="O135" s="164"/>
      <x:c r="P135" s="164"/>
      <x:c r="Q135" s="164"/>
      <x:c r="R135" s="178"/>
      <x:c r="S135" s="212"/>
      <x:c r="T135" s="37"/>
      <x:c r="U135" s="37"/>
      <x:c r="V135" s="37"/>
      <x:c r="W135" s="37"/>
      <x:c r="X135" s="37"/>
      <x:c r="Y135" s="37"/>
    </x:row>
    <x:row r="136" spans="1:25" s="192" customFormat="1" customHeight="1">
      <x:c r="A136" s="97">
        <x:v>131</x:v>
      </x:c>
      <x:c r="B136" s="16" t="s">
        <x:v>367</x:v>
      </x:c>
      <x:c r="C136" s="16" t="s">
        <x:v>285</x:v>
      </x:c>
      <x:c r="D136" s="16" t="s">
        <x:v>210</x:v>
      </x:c>
      <x:c r="E136" s="16" t="s">
        <x:v>68</x:v>
      </x:c>
      <x:c r="F136" s="16"/>
      <x:c r="G136" s="153" t="s">
        <x:v>267</x:v>
      </x:c>
      <x:c r="H136" s="149"/>
      <x:c r="I136" s="150"/>
      <x:c r="J136" s="150">
        <x:v>3</x:v>
      </x:c>
      <x:c r="K136" s="150"/>
      <x:c r="L136" s="178" t="s">
        <x:v>230</x:v>
      </x:c>
      <x:c r="M136" s="211" t="s">
        <x:v>191</x:v>
      </x:c>
      <x:c r="N136" s="137"/>
      <x:c r="O136" s="164"/>
      <x:c r="P136" s="164"/>
      <x:c r="Q136" s="164"/>
      <x:c r="R136" s="178"/>
      <x:c r="S136" s="212"/>
      <x:c r="T136" s="37"/>
      <x:c r="U136" s="37"/>
      <x:c r="V136" s="37"/>
      <x:c r="W136" s="37"/>
      <x:c r="X136" s="37"/>
      <x:c r="Y136" s="37"/>
    </x:row>
    <x:row r="137" spans="1:25" s="9" customFormat="1" customHeight="1">
      <x:c r="A137" s="73">
        <x:v>132</x:v>
      </x:c>
      <x:c r="B137" s="38" t="s">
        <x:v>367</x:v>
      </x:c>
      <x:c r="C137" s="15" t="s">
        <x:v>381</x:v>
      </x:c>
      <x:c r="D137" s="15" t="s">
        <x:v>179</x:v>
      </x:c>
      <x:c r="E137" s="15" t="s">
        <x:v>14</x:v>
      </x:c>
      <x:c r="F137" s="16"/>
      <x:c r="G137" s="152" t="s">
        <x:v>267</x:v>
      </x:c>
      <x:c r="H137" s="149"/>
      <x:c r="I137" s="150"/>
      <x:c r="J137" s="150"/>
      <x:c r="K137" s="150"/>
      <x:c r="L137" s="178"/>
      <x:c r="M137" s="211"/>
      <x:c r="N137" s="137"/>
      <x:c r="O137" s="164"/>
      <x:c r="P137" s="164">
        <x:v>1</x:v>
      </x:c>
      <x:c r="Q137" s="164"/>
      <x:c r="R137" s="178" t="s">
        <x:v>230</x:v>
      </x:c>
      <x:c r="S137" s="212" t="s">
        <x:v>191</x:v>
      </x:c>
      <x:c r="T137" s="37"/>
      <x:c r="U137" s="37"/>
      <x:c r="V137" s="37"/>
      <x:c r="W137" s="37"/>
      <x:c r="X137" s="37"/>
      <x:c r="Y137" s="37"/>
    </x:row>
    <x:row r="138" spans="1:25" s="9" customFormat="1" customHeight="1">
      <x:c r="A138" s="97">
        <x:v>133</x:v>
      </x:c>
      <x:c r="B138" s="104" t="s">
        <x:v>367</x:v>
      </x:c>
      <x:c r="C138" s="104" t="s">
        <x:v>285</x:v>
      </x:c>
      <x:c r="D138" s="104" t="s">
        <x:v>217</x:v>
      </x:c>
      <x:c r="E138" s="104" t="s">
        <x:v>202</x:v>
      </x:c>
      <x:c r="F138" s="104"/>
      <x:c r="G138" s="161" t="s">
        <x:v>267</x:v>
      </x:c>
      <x:c r="H138" s="184"/>
      <x:c r="I138" s="148"/>
      <x:c r="J138" s="148"/>
      <x:c r="K138" s="148"/>
      <x:c r="L138" s="148"/>
      <x:c r="M138" s="243"/>
      <x:c r="N138" s="138"/>
      <x:c r="O138" s="148"/>
      <x:c r="P138" s="148"/>
      <x:c r="Q138" s="148"/>
      <x:c r="R138" s="148"/>
      <x:c r="S138" s="241"/>
      <x:c r="T138" s="37"/>
      <x:c r="U138" s="37"/>
      <x:c r="V138" s="37"/>
      <x:c r="W138" s="37"/>
      <x:c r="X138" s="37"/>
      <x:c r="Y138" s="37"/>
    </x:row>
    <x:row r="139" spans="1:25" s="9" customFormat="1" customHeight="1">
      <x:c r="A139" s="73">
        <x:v>134</x:v>
      </x:c>
      <x:c r="B139" s="15" t="s">
        <x:v>367</x:v>
      </x:c>
      <x:c r="C139" s="15" t="s">
        <x:v>285</x:v>
      </x:c>
      <x:c r="D139" s="15" t="s">
        <x:v>173</x:v>
      </x:c>
      <x:c r="E139" s="15" t="s">
        <x:v>352</x:v>
      </x:c>
      <x:c r="F139" s="63"/>
      <x:c r="G139" s="152" t="s">
        <x:v>267</x:v>
      </x:c>
      <x:c r="H139" s="149"/>
      <x:c r="I139" s="150"/>
      <x:c r="J139" s="150"/>
      <x:c r="K139" s="150"/>
      <x:c r="L139" s="178"/>
      <x:c r="M139" s="211"/>
      <x:c r="N139" s="137">
        <x:v>1</x:v>
      </x:c>
      <x:c r="O139" s="164"/>
      <x:c r="P139" s="164"/>
      <x:c r="Q139" s="164"/>
      <x:c r="R139" s="178" t="s">
        <x:v>162</x:v>
      </x:c>
      <x:c r="S139" s="212" t="s">
        <x:v>225</x:v>
      </x:c>
      <x:c r="T139" s="37"/>
      <x:c r="U139" s="37"/>
      <x:c r="V139" s="37"/>
      <x:c r="W139" s="37"/>
      <x:c r="X139" s="37"/>
      <x:c r="Y139" s="37"/>
    </x:row>
    <x:row r="140" spans="1:25" s="9" customFormat="1" customHeight="1">
      <x:c r="A140" s="97">
        <x:v>135</x:v>
      </x:c>
      <x:c r="B140" s="16" t="s">
        <x:v>367</x:v>
      </x:c>
      <x:c r="C140" s="16" t="s">
        <x:v>381</x:v>
      </x:c>
      <x:c r="D140" s="16" t="s">
        <x:v>173</x:v>
      </x:c>
      <x:c r="E140" s="16" t="s">
        <x:v>102</x:v>
      </x:c>
      <x:c r="F140" s="63"/>
      <x:c r="G140" s="153" t="s">
        <x:v>267</x:v>
      </x:c>
      <x:c r="H140" s="149"/>
      <x:c r="I140" s="150"/>
      <x:c r="J140" s="150"/>
      <x:c r="K140" s="150"/>
      <x:c r="L140" s="178"/>
      <x:c r="M140" s="211"/>
      <x:c r="N140" s="137"/>
      <x:c r="O140" s="164"/>
      <x:c r="P140" s="164">
        <x:v>1</x:v>
      </x:c>
      <x:c r="Q140" s="164">
        <x:v>1</x:v>
      </x:c>
      <x:c r="R140" s="178" t="s">
        <x:v>191</x:v>
      </x:c>
      <x:c r="S140" s="212" t="s">
        <x:v>188</x:v>
      </x:c>
      <x:c r="T140" s="37"/>
      <x:c r="U140" s="37"/>
      <x:c r="V140" s="37"/>
      <x:c r="W140" s="37"/>
      <x:c r="X140" s="37"/>
      <x:c r="Y140" s="37"/>
    </x:row>
    <x:row r="141" spans="1:25" s="9" customFormat="1" customHeight="1">
      <x:c r="A141" s="73">
        <x:v>136</x:v>
      </x:c>
      <x:c r="B141" s="38" t="s">
        <x:v>367</x:v>
      </x:c>
      <x:c r="C141" s="15" t="s">
        <x:v>285</x:v>
      </x:c>
      <x:c r="D141" s="15" t="s">
        <x:v>173</x:v>
      </x:c>
      <x:c r="E141" s="15" t="s">
        <x:v>77</x:v>
      </x:c>
      <x:c r="F141" s="16"/>
      <x:c r="G141" s="152" t="s">
        <x:v>267</x:v>
      </x:c>
      <x:c r="H141" s="149"/>
      <x:c r="I141" s="150"/>
      <x:c r="J141" s="150">
        <x:v>1</x:v>
      </x:c>
      <x:c r="K141" s="150"/>
      <x:c r="L141" s="178" t="s">
        <x:v>188</x:v>
      </x:c>
      <x:c r="M141" s="211" t="s">
        <x:v>36</x:v>
      </x:c>
      <x:c r="N141" s="137"/>
      <x:c r="O141" s="164"/>
      <x:c r="P141" s="164"/>
      <x:c r="Q141" s="164"/>
      <x:c r="R141" s="178"/>
      <x:c r="S141" s="212"/>
      <x:c r="T141" s="37"/>
      <x:c r="U141" s="37"/>
      <x:c r="V141" s="37"/>
      <x:c r="W141" s="37"/>
      <x:c r="X141" s="37"/>
      <x:c r="Y141" s="37"/>
    </x:row>
    <x:row r="142" spans="1:25" s="43" customFormat="1" customHeight="1">
      <x:c r="A142" s="97">
        <x:v>137</x:v>
      </x:c>
      <x:c r="B142" s="15" t="s">
        <x:v>367</x:v>
      </x:c>
      <x:c r="C142" s="15" t="s">
        <x:v>381</x:v>
      </x:c>
      <x:c r="D142" s="15" t="s">
        <x:v>173</x:v>
      </x:c>
      <x:c r="E142" s="15" t="s">
        <x:v>29</x:v>
      </x:c>
      <x:c r="F142" s="16"/>
      <x:c r="G142" s="152" t="s">
        <x:v>267</x:v>
      </x:c>
      <x:c r="H142" s="149"/>
      <x:c r="I142" s="150"/>
      <x:c r="J142" s="150">
        <x:v>1</x:v>
      </x:c>
      <x:c r="K142" s="150"/>
      <x:c r="L142" s="178" t="s">
        <x:v>188</x:v>
      </x:c>
      <x:c r="M142" s="211" t="s">
        <x:v>36</x:v>
      </x:c>
      <x:c r="N142" s="137"/>
      <x:c r="O142" s="164"/>
      <x:c r="P142" s="164"/>
      <x:c r="Q142" s="164"/>
      <x:c r="R142" s="178"/>
      <x:c r="S142" s="212"/>
      <x:c r="T142" s="315"/>
      <x:c r="U142" s="315"/>
      <x:c r="V142" s="315"/>
      <x:c r="W142" s="315"/>
      <x:c r="X142" s="315"/>
      <x:c r="Y142" s="315"/>
    </x:row>
    <x:row r="143" spans="1:25" s="9" customFormat="1" customHeight="1">
      <x:c r="A143" s="73">
        <x:v>138</x:v>
      </x:c>
      <x:c r="B143" s="15" t="s">
        <x:v>367</x:v>
      </x:c>
      <x:c r="C143" s="15" t="s">
        <x:v>381</x:v>
      </x:c>
      <x:c r="D143" s="15" t="s">
        <x:v>173</x:v>
      </x:c>
      <x:c r="E143" s="15" t="s">
        <x:v>117</x:v>
      </x:c>
      <x:c r="F143" s="16"/>
      <x:c r="G143" s="152" t="s">
        <x:v>267</x:v>
      </x:c>
      <x:c r="H143" s="149"/>
      <x:c r="I143" s="150"/>
      <x:c r="J143" s="150"/>
      <x:c r="K143" s="150"/>
      <x:c r="L143" s="178"/>
      <x:c r="M143" s="211"/>
      <x:c r="N143" s="137"/>
      <x:c r="O143" s="164"/>
      <x:c r="P143" s="164">
        <x:v>1</x:v>
      </x:c>
      <x:c r="Q143" s="164"/>
      <x:c r="R143" s="178" t="s">
        <x:v>191</x:v>
      </x:c>
      <x:c r="S143" s="212" t="s">
        <x:v>188</x:v>
      </x:c>
      <x:c r="T143" s="37"/>
      <x:c r="U143" s="37"/>
      <x:c r="V143" s="37"/>
      <x:c r="W143" s="37"/>
      <x:c r="X143" s="37"/>
      <x:c r="Y143" s="37"/>
    </x:row>
    <x:row r="144" spans="1:25" s="8" customFormat="1" customHeight="1">
      <x:c r="A144" s="97">
        <x:v>139</x:v>
      </x:c>
      <x:c r="B144" s="86" t="s">
        <x:v>367</x:v>
      </x:c>
      <x:c r="C144" s="86" t="s">
        <x:v>381</x:v>
      </x:c>
      <x:c r="D144" s="86" t="s">
        <x:v>173</x:v>
      </x:c>
      <x:c r="E144" s="86" t="s">
        <x:v>259</x:v>
      </x:c>
      <x:c r="F144" s="86"/>
      <x:c r="G144" s="160" t="s">
        <x:v>267</x:v>
      </x:c>
      <x:c r="H144" s="149"/>
      <x:c r="I144" s="150"/>
      <x:c r="J144" s="150"/>
      <x:c r="K144" s="150"/>
      <x:c r="L144" s="150"/>
      <x:c r="M144" s="214"/>
      <x:c r="N144" s="142"/>
      <x:c r="O144" s="150"/>
      <x:c r="P144" s="150"/>
      <x:c r="Q144" s="150">
        <x:v>7</x:v>
      </x:c>
      <x:c r="R144" s="150" t="s">
        <x:v>238</x:v>
      </x:c>
      <x:c r="S144" s="213" t="s">
        <x:v>201</x:v>
      </x:c>
      <x:c r="T144" s="37"/>
      <x:c r="U144" s="37"/>
      <x:c r="V144" s="37"/>
      <x:c r="W144" s="37"/>
      <x:c r="X144" s="37"/>
      <x:c r="Y144" s="37"/>
    </x:row>
    <x:row r="145" spans="1:25" s="9" customFormat="1" customHeight="1">
      <x:c r="A145" s="73">
        <x:v>140</x:v>
      </x:c>
      <x:c r="B145" s="104" t="s">
        <x:v>367</x:v>
      </x:c>
      <x:c r="C145" s="104" t="s">
        <x:v>359</x:v>
      </x:c>
      <x:c r="D145" s="104" t="s">
        <x:v>171</x:v>
      </x:c>
      <x:c r="E145" s="104" t="s">
        <x:v>91</x:v>
      </x:c>
      <x:c r="F145" s="104"/>
      <x:c r="G145" s="161" t="s">
        <x:v>267</x:v>
      </x:c>
      <x:c r="H145" s="184"/>
      <x:c r="I145" s="148"/>
      <x:c r="J145" s="148"/>
      <x:c r="K145" s="148"/>
      <x:c r="L145" s="148"/>
      <x:c r="M145" s="243"/>
      <x:c r="N145" s="138"/>
      <x:c r="O145" s="148"/>
      <x:c r="P145" s="148"/>
      <x:c r="Q145" s="148"/>
      <x:c r="R145" s="148"/>
      <x:c r="S145" s="241"/>
      <x:c r="T145" s="37"/>
      <x:c r="U145" s="37"/>
      <x:c r="V145" s="37"/>
      <x:c r="W145" s="37"/>
      <x:c r="X145" s="37"/>
      <x:c r="Y145" s="37"/>
    </x:row>
    <x:row r="146" spans="1:25" s="9" customFormat="1" customHeight="1">
      <x:c r="A146" s="97">
        <x:v>141</x:v>
      </x:c>
      <x:c r="B146" s="104" t="s">
        <x:v>367</x:v>
      </x:c>
      <x:c r="C146" s="104" t="s">
        <x:v>285</x:v>
      </x:c>
      <x:c r="D146" s="104" t="s">
        <x:v>171</x:v>
      </x:c>
      <x:c r="E146" s="104" t="s">
        <x:v>73</x:v>
      </x:c>
      <x:c r="F146" s="104"/>
      <x:c r="G146" s="161" t="s">
        <x:v>267</x:v>
      </x:c>
      <x:c r="H146" s="184"/>
      <x:c r="I146" s="148"/>
      <x:c r="J146" s="148"/>
      <x:c r="K146" s="148"/>
      <x:c r="L146" s="148"/>
      <x:c r="M146" s="243"/>
      <x:c r="N146" s="138"/>
      <x:c r="O146" s="148"/>
      <x:c r="P146" s="148"/>
      <x:c r="Q146" s="148"/>
      <x:c r="R146" s="148"/>
      <x:c r="S146" s="241"/>
      <x:c r="T146" s="37"/>
      <x:c r="U146" s="37"/>
      <x:c r="V146" s="37"/>
      <x:c r="W146" s="37"/>
      <x:c r="X146" s="37"/>
      <x:c r="Y146" s="37"/>
    </x:row>
    <x:row r="147" spans="1:25" s="9" customFormat="1" customHeight="1">
      <x:c r="A147" s="73">
        <x:v>142</x:v>
      </x:c>
      <x:c r="B147" s="38" t="s">
        <x:v>367</x:v>
      </x:c>
      <x:c r="C147" s="15" t="s">
        <x:v>381</x:v>
      </x:c>
      <x:c r="D147" s="15" t="s">
        <x:v>171</x:v>
      </x:c>
      <x:c r="E147" s="15" t="s">
        <x:v>54</x:v>
      </x:c>
      <x:c r="F147" s="16"/>
      <x:c r="G147" s="152" t="s">
        <x:v>267</x:v>
      </x:c>
      <x:c r="H147" s="149"/>
      <x:c r="I147" s="150"/>
      <x:c r="J147" s="150"/>
      <x:c r="K147" s="150"/>
      <x:c r="L147" s="178"/>
      <x:c r="M147" s="211"/>
      <x:c r="N147" s="137"/>
      <x:c r="O147" s="164"/>
      <x:c r="P147" s="164"/>
      <x:c r="Q147" s="164"/>
      <x:c r="R147" s="178"/>
      <x:c r="S147" s="212"/>
      <x:c r="T147" s="37"/>
      <x:c r="U147" s="37"/>
      <x:c r="V147" s="37"/>
      <x:c r="W147" s="37"/>
      <x:c r="X147" s="37"/>
      <x:c r="Y147" s="37"/>
    </x:row>
    <x:row r="148" spans="1:25" s="9" customFormat="1" customHeight="1">
      <x:c r="A148" s="97">
        <x:v>143</x:v>
      </x:c>
      <x:c r="B148" s="15" t="s">
        <x:v>367</x:v>
      </x:c>
      <x:c r="C148" s="15" t="s">
        <x:v>285</x:v>
      </x:c>
      <x:c r="D148" s="15" t="s">
        <x:v>167</x:v>
      </x:c>
      <x:c r="E148" s="15" t="s">
        <x:v>50</x:v>
      </x:c>
      <x:c r="F148" s="16"/>
      <x:c r="G148" s="152" t="s">
        <x:v>267</x:v>
      </x:c>
      <x:c r="H148" s="149"/>
      <x:c r="I148" s="150"/>
      <x:c r="J148" s="150">
        <x:v>1</x:v>
      </x:c>
      <x:c r="K148" s="150"/>
      <x:c r="L148" s="178" t="s">
        <x:v>188</x:v>
      </x:c>
      <x:c r="M148" s="211" t="s">
        <x:v>36</x:v>
      </x:c>
      <x:c r="N148" s="137"/>
      <x:c r="O148" s="164"/>
      <x:c r="P148" s="164"/>
      <x:c r="Q148" s="164"/>
      <x:c r="R148" s="178"/>
      <x:c r="S148" s="212"/>
      <x:c r="T148" s="37"/>
      <x:c r="U148" s="37"/>
      <x:c r="V148" s="37"/>
      <x:c r="W148" s="37"/>
      <x:c r="X148" s="37"/>
      <x:c r="Y148" s="37"/>
    </x:row>
    <x:row r="149" spans="1:25" s="9" customFormat="1" customHeight="1">
      <x:c r="A149" s="73">
        <x:v>144</x:v>
      </x:c>
      <x:c r="B149" s="54" t="s">
        <x:v>367</x:v>
      </x:c>
      <x:c r="C149" s="54" t="s">
        <x:v>264</x:v>
      </x:c>
      <x:c r="D149" s="54" t="s">
        <x:v>246</x:v>
      </x:c>
      <x:c r="E149" s="54" t="s">
        <x:v>209</x:v>
      </x:c>
      <x:c r="F149" s="16"/>
      <x:c r="G149" s="151" t="s">
        <x:v>272</x:v>
      </x:c>
      <x:c r="H149" s="149"/>
      <x:c r="I149" s="150"/>
      <x:c r="J149" s="150"/>
      <x:c r="K149" s="150"/>
      <x:c r="L149" s="178"/>
      <x:c r="M149" s="233"/>
      <x:c r="N149" s="137"/>
      <x:c r="O149" s="164"/>
      <x:c r="P149" s="164"/>
      <x:c r="Q149" s="164"/>
      <x:c r="R149" s="178"/>
      <x:c r="S149" s="232"/>
      <x:c r="T149" s="37"/>
      <x:c r="U149" s="37"/>
      <x:c r="V149" s="37"/>
      <x:c r="W149" s="37"/>
      <x:c r="X149" s="37"/>
      <x:c r="Y149" s="37"/>
    </x:row>
    <x:row r="150" spans="1:25" s="192" customFormat="1" customHeight="1">
      <x:c r="A150" s="97">
        <x:v>145</x:v>
      </x:c>
      <x:c r="B150" s="97" t="s">
        <x:v>367</x:v>
      </x:c>
      <x:c r="C150" s="16" t="s">
        <x:v>381</x:v>
      </x:c>
      <x:c r="D150" s="16" t="s">
        <x:v>210</x:v>
      </x:c>
      <x:c r="E150" s="16" t="s">
        <x:v>42</x:v>
      </x:c>
      <x:c r="F150" s="16"/>
      <x:c r="G150" s="153" t="s">
        <x:v>267</x:v>
      </x:c>
      <x:c r="H150" s="149"/>
      <x:c r="I150" s="150"/>
      <x:c r="J150" s="150"/>
      <x:c r="K150" s="150"/>
      <x:c r="L150" s="178"/>
      <x:c r="M150" s="211"/>
      <x:c r="N150" s="137"/>
      <x:c r="O150" s="164">
        <x:v>2</x:v>
      </x:c>
      <x:c r="P150" s="164"/>
      <x:c r="Q150" s="164"/>
      <x:c r="R150" s="178" t="s">
        <x:v>36</x:v>
      </x:c>
      <x:c r="S150" s="212" t="s">
        <x:v>175</x:v>
      </x:c>
      <x:c r="T150" s="37"/>
      <x:c r="U150" s="37"/>
      <x:c r="V150" s="37"/>
      <x:c r="W150" s="37"/>
      <x:c r="X150" s="37"/>
      <x:c r="Y150" s="37"/>
    </x:row>
    <x:row r="151" spans="1:25" s="9" customFormat="1" customHeight="1">
      <x:c r="A151" s="73">
        <x:v>146</x:v>
      </x:c>
      <x:c r="B151" s="15" t="s">
        <x:v>367</x:v>
      </x:c>
      <x:c r="C151" s="15" t="s">
        <x:v>381</x:v>
      </x:c>
      <x:c r="D151" s="15" t="s">
        <x:v>217</x:v>
      </x:c>
      <x:c r="E151" s="15" t="s">
        <x:v>159</x:v>
      </x:c>
      <x:c r="F151" s="15"/>
      <x:c r="G151" s="152" t="s">
        <x:v>267</x:v>
      </x:c>
      <x:c r="H151" s="149"/>
      <x:c r="I151" s="150"/>
      <x:c r="J151" s="150"/>
      <x:c r="K151" s="150"/>
      <x:c r="L151" s="178"/>
      <x:c r="M151" s="233"/>
      <x:c r="N151" s="137">
        <x:v>1</x:v>
      </x:c>
      <x:c r="O151" s="164"/>
      <x:c r="P151" s="164"/>
      <x:c r="Q151" s="164"/>
      <x:c r="R151" s="178" t="s">
        <x:v>215</x:v>
      </x:c>
      <x:c r="S151" s="232" t="s">
        <x:v>162</x:v>
      </x:c>
      <x:c r="T151" s="37"/>
      <x:c r="U151" s="37"/>
      <x:c r="V151" s="37"/>
      <x:c r="W151" s="37"/>
      <x:c r="X151" s="37"/>
      <x:c r="Y151" s="37"/>
    </x:row>
    <x:row r="152" spans="1:25" s="9" customFormat="1" customHeight="1">
      <x:c r="A152" s="97">
        <x:v>147</x:v>
      </x:c>
      <x:c r="B152" s="16" t="s">
        <x:v>367</x:v>
      </x:c>
      <x:c r="C152" s="16" t="s">
        <x:v>285</x:v>
      </x:c>
      <x:c r="D152" s="16" t="s">
        <x:v>217</x:v>
      </x:c>
      <x:c r="E152" s="16" t="s">
        <x:v>134</x:v>
      </x:c>
      <x:c r="F152" s="16"/>
      <x:c r="G152" s="153" t="s">
        <x:v>267</x:v>
      </x:c>
      <x:c r="H152" s="149"/>
      <x:c r="I152" s="150"/>
      <x:c r="J152" s="150"/>
      <x:c r="K152" s="150"/>
      <x:c r="L152" s="178"/>
      <x:c r="M152" s="211"/>
      <x:c r="N152" s="137"/>
      <x:c r="O152" s="164"/>
      <x:c r="P152" s="164"/>
      <x:c r="Q152" s="164"/>
      <x:c r="R152" s="178"/>
      <x:c r="S152" s="212"/>
      <x:c r="T152" s="37"/>
      <x:c r="U152" s="37"/>
      <x:c r="V152" s="37"/>
      <x:c r="W152" s="37"/>
      <x:c r="X152" s="37"/>
      <x:c r="Y152" s="37"/>
    </x:row>
    <x:row r="153" spans="1:19" s="9" customFormat="1" customHeight="1">
      <x:c r="A153" s="73">
        <x:v>148</x:v>
      </x:c>
      <x:c r="B153" s="59" t="s">
        <x:v>368</x:v>
      </x:c>
      <x:c r="C153" s="54" t="s">
        <x:v>275</x:v>
      </x:c>
      <x:c r="D153" s="54" t="s">
        <x:v>246</x:v>
      </x:c>
      <x:c r="E153" s="54" t="s">
        <x:v>126</x:v>
      </x:c>
      <x:c r="F153" s="15"/>
      <x:c r="G153" s="151" t="s">
        <x:v>272</x:v>
      </x:c>
      <x:c r="H153" s="149"/>
      <x:c r="I153" s="150"/>
      <x:c r="J153" s="150"/>
      <x:c r="K153" s="150"/>
      <x:c r="L153" s="178"/>
      <x:c r="M153" s="211"/>
      <x:c r="N153" s="137"/>
      <x:c r="O153" s="164"/>
      <x:c r="P153" s="164"/>
      <x:c r="Q153" s="164"/>
      <x:c r="R153" s="178"/>
      <x:c r="S153" s="212"/>
    </x:row>
    <x:row r="154" spans="1:23" s="192" customFormat="1" customHeight="1">
      <x:c r="A154" s="97">
        <x:v>149</x:v>
      </x:c>
      <x:c r="B154" s="61" t="s">
        <x:v>368</x:v>
      </x:c>
      <x:c r="C154" s="61" t="s">
        <x:v>275</x:v>
      </x:c>
      <x:c r="D154" s="61" t="s">
        <x:v>179</x:v>
      </x:c>
      <x:c r="E154" s="61" t="s">
        <x:v>110</x:v>
      </x:c>
      <x:c r="F154" s="63"/>
      <x:c r="G154" s="158" t="s">
        <x:v>272</x:v>
      </x:c>
      <x:c r="H154" s="149"/>
      <x:c r="I154" s="150"/>
      <x:c r="J154" s="150"/>
      <x:c r="K154" s="150"/>
      <x:c r="L154" s="178"/>
      <x:c r="M154" s="211"/>
      <x:c r="N154" s="137"/>
      <x:c r="O154" s="164"/>
      <x:c r="P154" s="164"/>
      <x:c r="Q154" s="164"/>
      <x:c r="R154" s="178"/>
      <x:c r="S154" s="212"/>
      <x:c r="T154" s="37"/>
      <x:c r="U154" s="37"/>
      <x:c r="V154" s="37"/>
      <x:c r="W154" s="37"/>
    </x:row>
    <x:row r="155" spans="1:19" s="9" customFormat="1" customHeight="1">
      <x:c r="A155" s="73">
        <x:v>150</x:v>
      </x:c>
      <x:c r="B155" s="54" t="s">
        <x:v>368</x:v>
      </x:c>
      <x:c r="C155" s="54" t="s">
        <x:v>275</x:v>
      </x:c>
      <x:c r="D155" s="54" t="s">
        <x:v>217</x:v>
      </x:c>
      <x:c r="E155" s="54" t="s">
        <x:v>216</x:v>
      </x:c>
      <x:c r="F155" s="15"/>
      <x:c r="G155" s="151" t="s">
        <x:v>272</x:v>
      </x:c>
      <x:c r="H155" s="149"/>
      <x:c r="I155" s="150"/>
      <x:c r="J155" s="150"/>
      <x:c r="K155" s="150"/>
      <x:c r="L155" s="178"/>
      <x:c r="M155" s="211"/>
      <x:c r="N155" s="137"/>
      <x:c r="O155" s="164"/>
      <x:c r="P155" s="164"/>
      <x:c r="Q155" s="164"/>
      <x:c r="R155" s="178"/>
      <x:c r="S155" s="212"/>
    </x:row>
    <x:row r="156" spans="1:19" s="9" customFormat="1" customHeight="1">
      <x:c r="A156" s="97">
        <x:v>151</x:v>
      </x:c>
      <x:c r="B156" s="54" t="s">
        <x:v>368</x:v>
      </x:c>
      <x:c r="C156" s="54" t="s">
        <x:v>275</x:v>
      </x:c>
      <x:c r="D156" s="54" t="s">
        <x:v>171</x:v>
      </x:c>
      <x:c r="E156" s="54" t="s">
        <x:v>59</x:v>
      </x:c>
      <x:c r="F156" s="15"/>
      <x:c r="G156" s="151" t="s">
        <x:v>272</x:v>
      </x:c>
      <x:c r="H156" s="149"/>
      <x:c r="I156" s="150"/>
      <x:c r="J156" s="150"/>
      <x:c r="K156" s="150"/>
      <x:c r="L156" s="178"/>
      <x:c r="M156" s="211"/>
      <x:c r="N156" s="137"/>
      <x:c r="O156" s="164"/>
      <x:c r="P156" s="164"/>
      <x:c r="Q156" s="164"/>
      <x:c r="R156" s="178"/>
      <x:c r="S156" s="212"/>
    </x:row>
    <x:row r="157" spans="1:19" s="9" customFormat="1" customHeight="1">
      <x:c r="A157" s="73">
        <x:v>152</x:v>
      </x:c>
      <x:c r="B157" s="54" t="s">
        <x:v>368</x:v>
      </x:c>
      <x:c r="C157" s="54" t="s">
        <x:v>252</x:v>
      </x:c>
      <x:c r="D157" s="54" t="s">
        <x:v>248</x:v>
      </x:c>
      <x:c r="E157" s="54" t="s">
        <x:v>206</x:v>
      </x:c>
      <x:c r="F157" s="15"/>
      <x:c r="G157" s="151" t="s">
        <x:v>272</x:v>
      </x:c>
      <x:c r="H157" s="149"/>
      <x:c r="I157" s="150"/>
      <x:c r="J157" s="150"/>
      <x:c r="K157" s="150"/>
      <x:c r="L157" s="178"/>
      <x:c r="M157" s="211"/>
      <x:c r="N157" s="137"/>
      <x:c r="O157" s="164"/>
      <x:c r="P157" s="164"/>
      <x:c r="Q157" s="164"/>
      <x:c r="R157" s="178"/>
      <x:c r="S157" s="212"/>
    </x:row>
    <x:row r="158" spans="1:19" s="8" customFormat="1" customHeight="1">
      <x:c r="A158" s="97">
        <x:v>153</x:v>
      </x:c>
      <x:c r="B158" s="54" t="s">
        <x:v>368</x:v>
      </x:c>
      <x:c r="C158" s="54" t="s">
        <x:v>252</x:v>
      </x:c>
      <x:c r="D158" s="54" t="s">
        <x:v>173</x:v>
      </x:c>
      <x:c r="E158" s="54" t="s">
        <x:v>279</x:v>
      </x:c>
      <x:c r="F158" s="15"/>
      <x:c r="G158" s="151" t="s">
        <x:v>272</x:v>
      </x:c>
      <x:c r="H158" s="149"/>
      <x:c r="I158" s="150"/>
      <x:c r="J158" s="150"/>
      <x:c r="K158" s="150"/>
      <x:c r="L158" s="178"/>
      <x:c r="M158" s="211"/>
      <x:c r="N158" s="137"/>
      <x:c r="O158" s="164"/>
      <x:c r="P158" s="164"/>
      <x:c r="Q158" s="164"/>
      <x:c r="R158" s="178"/>
      <x:c r="S158" s="212"/>
    </x:row>
    <x:row r="159" spans="1:19" s="9" customFormat="1" customHeight="1">
      <x:c r="A159" s="73">
        <x:v>154</x:v>
      </x:c>
      <x:c r="B159" s="56" t="s">
        <x:v>368</x:v>
      </x:c>
      <x:c r="C159" s="56" t="s">
        <x:v>285</x:v>
      </x:c>
      <x:c r="D159" s="56" t="s">
        <x:v>168</x:v>
      </x:c>
      <x:c r="E159" s="56" t="s">
        <x:v>84</x:v>
      </x:c>
      <x:c r="F159" s="56"/>
      <x:c r="G159" s="156" t="s">
        <x:v>267</x:v>
      </x:c>
      <x:c r="H159" s="177"/>
      <x:c r="I159" s="178"/>
      <x:c r="J159" s="178"/>
      <x:c r="K159" s="178"/>
      <x:c r="L159" s="178"/>
      <x:c r="M159" s="244"/>
      <x:c r="N159" s="179"/>
      <x:c r="O159" s="178"/>
      <x:c r="P159" s="178"/>
      <x:c r="Q159" s="178"/>
      <x:c r="R159" s="178"/>
      <x:c r="S159" s="216"/>
    </x:row>
    <x:row r="160" spans="1:19" s="8" customFormat="1" customHeight="1">
      <x:c r="A160" s="97">
        <x:v>155</x:v>
      </x:c>
      <x:c r="B160" s="85" t="s">
        <x:v>368</x:v>
      </x:c>
      <x:c r="C160" s="86" t="s">
        <x:v>381</x:v>
      </x:c>
      <x:c r="D160" s="86" t="s">
        <x:v>274</x:v>
      </x:c>
      <x:c r="E160" s="86" t="s">
        <x:v>172</x:v>
      </x:c>
      <x:c r="F160" s="86"/>
      <x:c r="G160" s="160" t="s">
        <x:v>267</x:v>
      </x:c>
      <x:c r="H160" s="149"/>
      <x:c r="I160" s="150"/>
      <x:c r="J160" s="150"/>
      <x:c r="K160" s="150"/>
      <x:c r="L160" s="150"/>
      <x:c r="M160" s="214"/>
      <x:c r="N160" s="142"/>
      <x:c r="O160" s="150"/>
      <x:c r="P160" s="150"/>
      <x:c r="Q160" s="150"/>
      <x:c r="R160" s="150"/>
      <x:c r="S160" s="213"/>
    </x:row>
    <x:row r="161" spans="1:19" s="9" customFormat="1" customHeight="1">
      <x:c r="A161" s="73">
        <x:v>156</x:v>
      </x:c>
      <x:c r="B161" s="38" t="s">
        <x:v>368</x:v>
      </x:c>
      <x:c r="C161" s="15" t="s">
        <x:v>381</x:v>
      </x:c>
      <x:c r="D161" s="15" t="s">
        <x:v>168</x:v>
      </x:c>
      <x:c r="E161" s="15" t="s">
        <x:v>101</x:v>
      </x:c>
      <x:c r="F161" s="15"/>
      <x:c r="G161" s="152" t="s">
        <x:v>267</x:v>
      </x:c>
      <x:c r="H161" s="149">
        <x:v>1</x:v>
      </x:c>
      <x:c r="I161" s="150"/>
      <x:c r="J161" s="150"/>
      <x:c r="K161" s="150"/>
      <x:c r="L161" s="178" t="s">
        <x:v>162</x:v>
      </x:c>
      <x:c r="M161" s="211" t="s">
        <x:v>225</x:v>
      </x:c>
      <x:c r="N161" s="137"/>
      <x:c r="O161" s="164"/>
      <x:c r="P161" s="164"/>
      <x:c r="Q161" s="164"/>
      <x:c r="R161" s="178"/>
      <x:c r="S161" s="212"/>
    </x:row>
    <x:row r="162" spans="1:19" s="9" customFormat="1" customHeight="1">
      <x:c r="A162" s="97">
        <x:v>157</x:v>
      </x:c>
      <x:c r="B162" s="16" t="s">
        <x:v>368</x:v>
      </x:c>
      <x:c r="C162" s="16" t="s">
        <x:v>285</x:v>
      </x:c>
      <x:c r="D162" s="16" t="s">
        <x:v>168</x:v>
      </x:c>
      <x:c r="E162" s="16" t="s">
        <x:v>65</x:v>
      </x:c>
      <x:c r="F162" s="16"/>
      <x:c r="G162" s="153" t="s">
        <x:v>267</x:v>
      </x:c>
      <x:c r="H162" s="149"/>
      <x:c r="I162" s="150"/>
      <x:c r="J162" s="150"/>
      <x:c r="K162" s="150"/>
      <x:c r="L162" s="178"/>
      <x:c r="M162" s="211"/>
      <x:c r="N162" s="137"/>
      <x:c r="O162" s="164">
        <x:v>1</x:v>
      </x:c>
      <x:c r="P162" s="164"/>
      <x:c r="Q162" s="164"/>
      <x:c r="R162" s="178" t="s">
        <x:v>223</x:v>
      </x:c>
      <x:c r="S162" s="212" t="s">
        <x:v>158</x:v>
      </x:c>
    </x:row>
    <x:row r="163" spans="1:19" s="9" customFormat="1" customHeight="1">
      <x:c r="A163" s="73">
        <x:v>158</x:v>
      </x:c>
      <x:c r="B163" s="16" t="s">
        <x:v>368</x:v>
      </x:c>
      <x:c r="C163" s="16" t="s">
        <x:v>381</x:v>
      </x:c>
      <x:c r="D163" s="16" t="s">
        <x:v>210</x:v>
      </x:c>
      <x:c r="E163" s="16" t="s">
        <x:v>37</x:v>
      </x:c>
      <x:c r="F163" s="16"/>
      <x:c r="G163" s="153" t="s">
        <x:v>267</x:v>
      </x:c>
      <x:c r="H163" s="149"/>
      <x:c r="I163" s="150"/>
      <x:c r="J163" s="150">
        <x:v>4</x:v>
      </x:c>
      <x:c r="K163" s="150"/>
      <x:c r="L163" s="178" t="s">
        <x:v>230</x:v>
      </x:c>
      <x:c r="M163" s="211" t="s">
        <x:v>191</x:v>
      </x:c>
      <x:c r="N163" s="137"/>
      <x:c r="O163" s="164"/>
      <x:c r="P163" s="164"/>
      <x:c r="Q163" s="164"/>
      <x:c r="R163" s="178"/>
      <x:c r="S163" s="212"/>
    </x:row>
    <x:row r="164" spans="1:19" s="9" customFormat="1" customHeight="1">
      <x:c r="A164" s="97">
        <x:v>159</x:v>
      </x:c>
      <x:c r="B164" s="15" t="s">
        <x:v>368</x:v>
      </x:c>
      <x:c r="C164" s="15" t="s">
        <x:v>285</x:v>
      </x:c>
      <x:c r="D164" s="15" t="s">
        <x:v>217</x:v>
      </x:c>
      <x:c r="E164" s="15" t="s">
        <x:v>255</x:v>
      </x:c>
      <x:c r="F164" s="16"/>
      <x:c r="G164" s="152" t="s">
        <x:v>267</x:v>
      </x:c>
      <x:c r="H164" s="149"/>
      <x:c r="I164" s="150"/>
      <x:c r="J164" s="150"/>
      <x:c r="K164" s="150"/>
      <x:c r="L164" s="178"/>
      <x:c r="M164" s="211"/>
      <x:c r="N164" s="137"/>
      <x:c r="O164" s="164"/>
      <x:c r="P164" s="164"/>
      <x:c r="Q164" s="164"/>
      <x:c r="R164" s="178"/>
      <x:c r="S164" s="212"/>
    </x:row>
    <x:row r="165" spans="1:19" s="9" customFormat="1" customHeight="1">
      <x:c r="A165" s="73">
        <x:v>160</x:v>
      </x:c>
      <x:c r="B165" s="15" t="s">
        <x:v>368</x:v>
      </x:c>
      <x:c r="C165" s="15" t="s">
        <x:v>381</x:v>
      </x:c>
      <x:c r="D165" s="15" t="s">
        <x:v>217</x:v>
      </x:c>
      <x:c r="E165" s="15" t="s">
        <x:v>142</x:v>
      </x:c>
      <x:c r="F165" s="16"/>
      <x:c r="G165" s="152" t="s">
        <x:v>267</x:v>
      </x:c>
      <x:c r="H165" s="149"/>
      <x:c r="I165" s="150"/>
      <x:c r="J165" s="150"/>
      <x:c r="K165" s="150"/>
      <x:c r="L165" s="178"/>
      <x:c r="M165" s="211"/>
      <x:c r="N165" s="137"/>
      <x:c r="O165" s="164"/>
      <x:c r="P165" s="164">
        <x:v>1</x:v>
      </x:c>
      <x:c r="Q165" s="164"/>
      <x:c r="R165" s="178" t="s">
        <x:v>191</x:v>
      </x:c>
      <x:c r="S165" s="212" t="s">
        <x:v>188</x:v>
      </x:c>
    </x:row>
    <x:row r="166" spans="1:19" s="9" customFormat="1" customHeight="1">
      <x:c r="A166" s="97">
        <x:v>161</x:v>
      </x:c>
      <x:c r="B166" s="15" t="s">
        <x:v>368</x:v>
      </x:c>
      <x:c r="C166" s="15" t="s">
        <x:v>381</x:v>
      </x:c>
      <x:c r="D166" s="15" t="s">
        <x:v>217</x:v>
      </x:c>
      <x:c r="E166" s="15" t="s">
        <x:v>98</x:v>
      </x:c>
      <x:c r="F166" s="16"/>
      <x:c r="G166" s="152" t="s">
        <x:v>267</x:v>
      </x:c>
      <x:c r="H166" s="149"/>
      <x:c r="I166" s="150"/>
      <x:c r="J166" s="150"/>
      <x:c r="K166" s="150"/>
      <x:c r="L166" s="178"/>
      <x:c r="M166" s="211"/>
      <x:c r="N166" s="137"/>
      <x:c r="O166" s="164"/>
      <x:c r="P166" s="164"/>
      <x:c r="Q166" s="164"/>
      <x:c r="R166" s="178"/>
      <x:c r="S166" s="212"/>
    </x:row>
    <x:row r="167" spans="1:19" s="9" customFormat="1" customHeight="1">
      <x:c r="A167" s="73">
        <x:v>162</x:v>
      </x:c>
      <x:c r="B167" s="15" t="s">
        <x:v>368</x:v>
      </x:c>
      <x:c r="C167" s="15" t="s">
        <x:v>381</x:v>
      </x:c>
      <x:c r="D167" s="15" t="s">
        <x:v>217</x:v>
      </x:c>
      <x:c r="E167" s="15" t="s">
        <x:v>197</x:v>
      </x:c>
      <x:c r="F167" s="16"/>
      <x:c r="G167" s="152" t="s">
        <x:v>267</x:v>
      </x:c>
      <x:c r="H167" s="149"/>
      <x:c r="I167" s="150"/>
      <x:c r="J167" s="150"/>
      <x:c r="K167" s="150"/>
      <x:c r="L167" s="178"/>
      <x:c r="M167" s="211"/>
      <x:c r="N167" s="137">
        <x:v>1</x:v>
      </x:c>
      <x:c r="O167" s="164"/>
      <x:c r="P167" s="164"/>
      <x:c r="Q167" s="164"/>
      <x:c r="R167" s="178" t="s">
        <x:v>215</x:v>
      </x:c>
      <x:c r="S167" s="212" t="s">
        <x:v>162</x:v>
      </x:c>
    </x:row>
    <x:row r="168" spans="1:19" s="9" customFormat="1" customHeight="1">
      <x:c r="A168" s="97">
        <x:v>163</x:v>
      </x:c>
      <x:c r="B168" s="56" t="s">
        <x:v>368</x:v>
      </x:c>
      <x:c r="C168" s="56" t="s">
        <x:v>285</x:v>
      </x:c>
      <x:c r="D168" s="56" t="s">
        <x:v>173</x:v>
      </x:c>
      <x:c r="E168" s="56" t="s">
        <x:v>219</x:v>
      </x:c>
      <x:c r="F168" s="56"/>
      <x:c r="G168" s="156" t="s">
        <x:v>267</x:v>
      </x:c>
      <x:c r="H168" s="177"/>
      <x:c r="I168" s="178"/>
      <x:c r="J168" s="178"/>
      <x:c r="K168" s="178"/>
      <x:c r="L168" s="178"/>
      <x:c r="M168" s="244"/>
      <x:c r="N168" s="179"/>
      <x:c r="O168" s="178"/>
      <x:c r="P168" s="178"/>
      <x:c r="Q168" s="178"/>
      <x:c r="R168" s="178"/>
      <x:c r="S168" s="216"/>
    </x:row>
    <x:row r="169" spans="1:19" s="9" customFormat="1" customHeight="1">
      <x:c r="A169" s="73">
        <x:v>164</x:v>
      </x:c>
      <x:c r="B169" s="15" t="s">
        <x:v>368</x:v>
      </x:c>
      <x:c r="C169" s="15" t="s">
        <x:v>381</x:v>
      </x:c>
      <x:c r="D169" s="16" t="s">
        <x:v>173</x:v>
      </x:c>
      <x:c r="E169" s="16" t="s">
        <x:v>104</x:v>
      </x:c>
      <x:c r="F169" s="16"/>
      <x:c r="G169" s="152" t="s">
        <x:v>267</x:v>
      </x:c>
      <x:c r="H169" s="149"/>
      <x:c r="I169" s="150"/>
      <x:c r="J169" s="150"/>
      <x:c r="K169" s="150"/>
      <x:c r="L169" s="178"/>
      <x:c r="M169" s="211"/>
      <x:c r="N169" s="137"/>
      <x:c r="O169" s="164"/>
      <x:c r="P169" s="164">
        <x:v>1</x:v>
      </x:c>
      <x:c r="Q169" s="164">
        <x:v>2</x:v>
      </x:c>
      <x:c r="R169" s="178" t="s">
        <x:v>230</x:v>
      </x:c>
      <x:c r="S169" s="212" t="s">
        <x:v>191</x:v>
      </x:c>
    </x:row>
    <x:row r="170" spans="1:19" s="9" customFormat="1" customHeight="1">
      <x:c r="A170" s="97">
        <x:v>165</x:v>
      </x:c>
      <x:c r="B170" s="38" t="s">
        <x:v>368</x:v>
      </x:c>
      <x:c r="C170" s="15" t="s">
        <x:v>381</x:v>
      </x:c>
      <x:c r="D170" s="15" t="s">
        <x:v>173</x:v>
      </x:c>
      <x:c r="E170" s="15" t="s">
        <x:v>82</x:v>
      </x:c>
      <x:c r="F170" s="16"/>
      <x:c r="G170" s="152" t="s">
        <x:v>267</x:v>
      </x:c>
      <x:c r="H170" s="149"/>
      <x:c r="I170" s="150"/>
      <x:c r="J170" s="150"/>
      <x:c r="K170" s="150"/>
      <x:c r="L170" s="178"/>
      <x:c r="M170" s="211"/>
      <x:c r="N170" s="137"/>
      <x:c r="O170" s="164">
        <x:v>1</x:v>
      </x:c>
      <x:c r="P170" s="164"/>
      <x:c r="Q170" s="164"/>
      <x:c r="R170" s="178" t="s">
        <x:v>36</x:v>
      </x:c>
      <x:c r="S170" s="212" t="s">
        <x:v>175</x:v>
      </x:c>
    </x:row>
    <x:row r="171" spans="1:19" s="8" customFormat="1" customHeight="1">
      <x:c r="A171" s="73">
        <x:v>166</x:v>
      </x:c>
      <x:c r="B171" s="85" t="s">
        <x:v>368</x:v>
      </x:c>
      <x:c r="C171" s="86" t="s">
        <x:v>285</x:v>
      </x:c>
      <x:c r="D171" s="86" t="s">
        <x:v>173</x:v>
      </x:c>
      <x:c r="E171" s="86" t="s">
        <x:v>284</x:v>
      </x:c>
      <x:c r="F171" s="86"/>
      <x:c r="G171" s="160" t="s">
        <x:v>267</x:v>
      </x:c>
      <x:c r="H171" s="149"/>
      <x:c r="I171" s="150"/>
      <x:c r="J171" s="150"/>
      <x:c r="K171" s="150">
        <x:v>4</x:v>
      </x:c>
      <x:c r="L171" s="150" t="s">
        <x:v>238</x:v>
      </x:c>
      <x:c r="M171" s="214" t="s">
        <x:v>230</x:v>
      </x:c>
      <x:c r="N171" s="142"/>
      <x:c r="O171" s="150"/>
      <x:c r="P171" s="150"/>
      <x:c r="Q171" s="150"/>
      <x:c r="R171" s="150"/>
      <x:c r="S171" s="213"/>
    </x:row>
    <x:row r="172" spans="1:19" s="9" customFormat="1" customHeight="1">
      <x:c r="A172" s="97">
        <x:v>167</x:v>
      </x:c>
      <x:c r="B172" s="15" t="s">
        <x:v>368</x:v>
      </x:c>
      <x:c r="C172" s="15" t="s">
        <x:v>381</x:v>
      </x:c>
      <x:c r="D172" s="15" t="s">
        <x:v>171</x:v>
      </x:c>
      <x:c r="E172" s="15" t="s">
        <x:v>133</x:v>
      </x:c>
      <x:c r="F172" s="16"/>
      <x:c r="G172" s="152" t="s">
        <x:v>267</x:v>
      </x:c>
      <x:c r="H172" s="149"/>
      <x:c r="I172" s="150">
        <x:v>2</x:v>
      </x:c>
      <x:c r="J172" s="150"/>
      <x:c r="K172" s="150"/>
      <x:c r="L172" s="178" t="s">
        <x:v>175</x:v>
      </x:c>
      <x:c r="M172" s="211" t="s">
        <x:v>158</x:v>
      </x:c>
      <x:c r="N172" s="137"/>
      <x:c r="O172" s="164"/>
      <x:c r="P172" s="164"/>
      <x:c r="Q172" s="164"/>
      <x:c r="R172" s="178"/>
      <x:c r="S172" s="212"/>
    </x:row>
    <x:row r="173" spans="1:19" s="9" customFormat="1" customHeight="1">
      <x:c r="A173" s="73">
        <x:v>168</x:v>
      </x:c>
      <x:c r="B173" s="86" t="s">
        <x:v>368</x:v>
      </x:c>
      <x:c r="C173" s="86" t="s">
        <x:v>285</x:v>
      </x:c>
      <x:c r="D173" s="86" t="s">
        <x:v>171</x:v>
      </x:c>
      <x:c r="E173" s="86" t="s">
        <x:v>67</x:v>
      </x:c>
      <x:c r="F173" s="86"/>
      <x:c r="G173" s="160" t="s">
        <x:v>267</x:v>
      </x:c>
      <x:c r="H173" s="149">
        <x:v>2</x:v>
      </x:c>
      <x:c r="I173" s="150"/>
      <x:c r="J173" s="150"/>
      <x:c r="K173" s="150"/>
      <x:c r="L173" s="178" t="s">
        <x:v>215</x:v>
      </x:c>
      <x:c r="M173" s="211" t="s">
        <x:v>225</x:v>
      </x:c>
      <x:c r="N173" s="137"/>
      <x:c r="O173" s="164"/>
      <x:c r="P173" s="164"/>
      <x:c r="Q173" s="164"/>
      <x:c r="R173" s="178"/>
      <x:c r="S173" s="212"/>
    </x:row>
    <x:row r="174" spans="1:19" s="9" customFormat="1" customHeight="1">
      <x:c r="A174" s="97">
        <x:v>169</x:v>
      </x:c>
      <x:c r="B174" s="108" t="s">
        <x:v>361</x:v>
      </x:c>
      <x:c r="C174" s="109" t="s">
        <x:v>275</x:v>
      </x:c>
      <x:c r="D174" s="109" t="s">
        <x:v>179</x:v>
      </x:c>
      <x:c r="E174" s="109" t="s">
        <x:v>180</x:v>
      </x:c>
      <x:c r="F174" s="56"/>
      <x:c r="G174" s="162" t="s">
        <x:v>272</x:v>
      </x:c>
      <x:c r="H174" s="177"/>
      <x:c r="I174" s="178"/>
      <x:c r="J174" s="178"/>
      <x:c r="K174" s="178"/>
      <x:c r="L174" s="178"/>
      <x:c r="M174" s="244"/>
      <x:c r="N174" s="179"/>
      <x:c r="O174" s="178"/>
      <x:c r="P174" s="178"/>
      <x:c r="Q174" s="178"/>
      <x:c r="R174" s="178"/>
      <x:c r="S174" s="216"/>
    </x:row>
    <x:row r="175" spans="1:19" s="9" customFormat="1" customHeight="1">
      <x:c r="A175" s="73">
        <x:v>170</x:v>
      </x:c>
      <x:c r="B175" s="54" t="s">
        <x:v>361</x:v>
      </x:c>
      <x:c r="C175" s="54" t="s">
        <x:v>275</x:v>
      </x:c>
      <x:c r="D175" s="54" t="s">
        <x:v>179</x:v>
      </x:c>
      <x:c r="E175" s="54" t="s">
        <x:v>132</x:v>
      </x:c>
      <x:c r="F175" s="16"/>
      <x:c r="G175" s="151" t="s">
        <x:v>272</x:v>
      </x:c>
      <x:c r="H175" s="171"/>
      <x:c r="I175" s="175"/>
      <x:c r="J175" s="175"/>
      <x:c r="K175" s="175"/>
      <x:c r="L175" s="178"/>
      <x:c r="M175" s="233"/>
      <x:c r="N175" s="173"/>
      <x:c r="O175" s="175"/>
      <x:c r="P175" s="175"/>
      <x:c r="Q175" s="175"/>
      <x:c r="R175" s="178"/>
      <x:c r="S175" s="232"/>
    </x:row>
    <x:row r="176" spans="1:19" s="9" customFormat="1" customHeight="1">
      <x:c r="A176" s="97">
        <x:v>171</x:v>
      </x:c>
      <x:c r="B176" s="54" t="s">
        <x:v>361</x:v>
      </x:c>
      <x:c r="C176" s="54" t="s">
        <x:v>275</x:v>
      </x:c>
      <x:c r="D176" s="54" t="s">
        <x:v>246</x:v>
      </x:c>
      <x:c r="E176" s="54" t="s">
        <x:v>282</x:v>
      </x:c>
      <x:c r="F176" s="16"/>
      <x:c r="G176" s="151" t="s">
        <x:v>272</x:v>
      </x:c>
      <x:c r="H176" s="171"/>
      <x:c r="I176" s="175"/>
      <x:c r="J176" s="175"/>
      <x:c r="K176" s="175"/>
      <x:c r="L176" s="178"/>
      <x:c r="M176" s="233"/>
      <x:c r="N176" s="173"/>
      <x:c r="O176" s="175"/>
      <x:c r="P176" s="175"/>
      <x:c r="Q176" s="175"/>
      <x:c r="R176" s="178"/>
      <x:c r="S176" s="232"/>
    </x:row>
    <x:row r="177" spans="1:19" s="9" customFormat="1" customHeight="1">
      <x:c r="A177" s="73">
        <x:v>172</x:v>
      </x:c>
      <x:c r="B177" s="54" t="s">
        <x:v>361</x:v>
      </x:c>
      <x:c r="C177" s="54" t="s">
        <x:v>275</x:v>
      </x:c>
      <x:c r="D177" s="54" t="s">
        <x:v>217</x:v>
      </x:c>
      <x:c r="E177" s="54" t="s">
        <x:v>125</x:v>
      </x:c>
      <x:c r="F177" s="16"/>
      <x:c r="G177" s="151" t="s">
        <x:v>272</x:v>
      </x:c>
      <x:c r="H177" s="171"/>
      <x:c r="I177" s="175"/>
      <x:c r="J177" s="175"/>
      <x:c r="K177" s="175"/>
      <x:c r="L177" s="178"/>
      <x:c r="M177" s="233"/>
      <x:c r="N177" s="173">
        <x:v>1</x:v>
      </x:c>
      <x:c r="O177" s="175"/>
      <x:c r="P177" s="175"/>
      <x:c r="Q177" s="175"/>
      <x:c r="R177" s="178" t="s">
        <x:v>162</x:v>
      </x:c>
      <x:c r="S177" s="232" t="s">
        <x:v>225</x:v>
      </x:c>
    </x:row>
    <x:row r="178" spans="1:19" s="9" customFormat="1" customHeight="1">
      <x:c r="A178" s="97">
        <x:v>173</x:v>
      </x:c>
      <x:c r="B178" s="54" t="s">
        <x:v>361</x:v>
      </x:c>
      <x:c r="C178" s="54" t="s">
        <x:v>275</x:v>
      </x:c>
      <x:c r="D178" s="54" t="s">
        <x:v>171</x:v>
      </x:c>
      <x:c r="E178" s="54" t="s">
        <x:v>124</x:v>
      </x:c>
      <x:c r="F178" s="16"/>
      <x:c r="G178" s="151" t="s">
        <x:v>272</x:v>
      </x:c>
      <x:c r="H178" s="171"/>
      <x:c r="I178" s="175"/>
      <x:c r="J178" s="175"/>
      <x:c r="K178" s="175"/>
      <x:c r="L178" s="178"/>
      <x:c r="M178" s="233"/>
      <x:c r="N178" s="173"/>
      <x:c r="O178" s="175">
        <x:v>2</x:v>
      </x:c>
      <x:c r="P178" s="175"/>
      <x:c r="Q178" s="175"/>
      <x:c r="R178" s="178" t="s">
        <x:v>36</x:v>
      </x:c>
      <x:c r="S178" s="232" t="s">
        <x:v>223</x:v>
      </x:c>
    </x:row>
    <x:row r="179" spans="1:19" s="9" customFormat="1" customHeight="1">
      <x:c r="A179" s="73">
        <x:v>174</x:v>
      </x:c>
      <x:c r="B179" s="193" t="s">
        <x:v>361</x:v>
      </x:c>
      <x:c r="C179" s="193" t="s">
        <x:v>252</x:v>
      </x:c>
      <x:c r="D179" s="193" t="s">
        <x:v>377</x:v>
      </x:c>
      <x:c r="E179" s="193" t="s">
        <x:v>34</x:v>
      </x:c>
      <x:c r="F179" s="86"/>
      <x:c r="G179" s="194" t="s">
        <x:v>272</x:v>
      </x:c>
      <x:c r="H179" s="149"/>
      <x:c r="I179" s="150"/>
      <x:c r="J179" s="150"/>
      <x:c r="K179" s="150"/>
      <x:c r="L179" s="150"/>
      <x:c r="M179" s="214"/>
      <x:c r="N179" s="142"/>
      <x:c r="O179" s="150"/>
      <x:c r="P179" s="150"/>
      <x:c r="Q179" s="150"/>
      <x:c r="R179" s="150"/>
      <x:c r="S179" s="213"/>
    </x:row>
    <x:row r="180" spans="1:19" s="9" customFormat="1" customHeight="1">
      <x:c r="A180" s="97">
        <x:v>175</x:v>
      </x:c>
      <x:c r="B180" s="54" t="s">
        <x:v>361</x:v>
      </x:c>
      <x:c r="C180" s="54" t="s">
        <x:v>252</x:v>
      </x:c>
      <x:c r="D180" s="54" t="s">
        <x:v>173</x:v>
      </x:c>
      <x:c r="E180" s="54" t="s">
        <x:v>278</x:v>
      </x:c>
      <x:c r="F180" s="16"/>
      <x:c r="G180" s="151" t="s">
        <x:v>272</x:v>
      </x:c>
      <x:c r="H180" s="171"/>
      <x:c r="I180" s="175"/>
      <x:c r="J180" s="175"/>
      <x:c r="K180" s="175"/>
      <x:c r="L180" s="178"/>
      <x:c r="M180" s="233"/>
      <x:c r="N180" s="173"/>
      <x:c r="O180" s="175"/>
      <x:c r="P180" s="175"/>
      <x:c r="Q180" s="175"/>
      <x:c r="R180" s="178"/>
      <x:c r="S180" s="232"/>
    </x:row>
    <x:row r="181" spans="1:19" s="8" customFormat="1" customHeight="1">
      <x:c r="A181" s="73">
        <x:v>176</x:v>
      </x:c>
      <x:c r="B181" s="56" t="s">
        <x:v>361</x:v>
      </x:c>
      <x:c r="C181" s="56" t="s">
        <x:v>252</x:v>
      </x:c>
      <x:c r="D181" s="56" t="s">
        <x:v>248</x:v>
      </x:c>
      <x:c r="E181" s="56" t="s">
        <x:v>182</x:v>
      </x:c>
      <x:c r="F181" s="56"/>
      <x:c r="G181" s="156" t="s">
        <x:v>267</x:v>
      </x:c>
      <x:c r="H181" s="177"/>
      <x:c r="I181" s="178"/>
      <x:c r="J181" s="178"/>
      <x:c r="K181" s="178"/>
      <x:c r="L181" s="178"/>
      <x:c r="M181" s="244"/>
      <x:c r="N181" s="179"/>
      <x:c r="O181" s="178"/>
      <x:c r="P181" s="178"/>
      <x:c r="Q181" s="178"/>
      <x:c r="R181" s="178"/>
      <x:c r="S181" s="216"/>
    </x:row>
    <x:row r="182" spans="1:19" s="9" customFormat="1" customHeight="1">
      <x:c r="A182" s="97">
        <x:v>177</x:v>
      </x:c>
      <x:c r="B182" s="15" t="s">
        <x:v>361</x:v>
      </x:c>
      <x:c r="C182" s="15" t="s">
        <x:v>285</x:v>
      </x:c>
      <x:c r="D182" s="16" t="s">
        <x:v>168</x:v>
      </x:c>
      <x:c r="E182" s="16" t="s">
        <x:v>169</x:v>
      </x:c>
      <x:c r="F182" s="16"/>
      <x:c r="G182" s="153" t="s">
        <x:v>267</x:v>
      </x:c>
      <x:c r="H182" s="149">
        <x:v>2</x:v>
      </x:c>
      <x:c r="I182" s="150"/>
      <x:c r="J182" s="150"/>
      <x:c r="K182" s="150"/>
      <x:c r="L182" s="178" t="s">
        <x:v>215</x:v>
      </x:c>
      <x:c r="M182" s="211" t="s">
        <x:v>225</x:v>
      </x:c>
      <x:c r="N182" s="137"/>
      <x:c r="O182" s="164"/>
      <x:c r="P182" s="164"/>
      <x:c r="Q182" s="164"/>
      <x:c r="R182" s="178"/>
      <x:c r="S182" s="212"/>
    </x:row>
    <x:row r="183" spans="1:19" s="9" customFormat="1" customHeight="1">
      <x:c r="A183" s="73">
        <x:v>178</x:v>
      </x:c>
      <x:c r="B183" s="15" t="s">
        <x:v>361</x:v>
      </x:c>
      <x:c r="C183" s="15" t="s">
        <x:v>381</x:v>
      </x:c>
      <x:c r="D183" s="15" t="s">
        <x:v>168</x:v>
      </x:c>
      <x:c r="E183" s="15" t="s">
        <x:v>181</x:v>
      </x:c>
      <x:c r="F183" s="16"/>
      <x:c r="G183" s="152" t="s">
        <x:v>267</x:v>
      </x:c>
      <x:c r="H183" s="149">
        <x:v>1</x:v>
      </x:c>
      <x:c r="I183" s="150"/>
      <x:c r="J183" s="150"/>
      <x:c r="K183" s="150"/>
      <x:c r="L183" s="178" t="s">
        <x:v>162</x:v>
      </x:c>
      <x:c r="M183" s="211" t="s">
        <x:v>225</x:v>
      </x:c>
      <x:c r="N183" s="137"/>
      <x:c r="O183" s="164"/>
      <x:c r="P183" s="164"/>
      <x:c r="Q183" s="164"/>
      <x:c r="R183" s="178"/>
      <x:c r="S183" s="212"/>
    </x:row>
    <x:row r="184" spans="1:19" s="9" customFormat="1" customHeight="1">
      <x:c r="A184" s="97">
        <x:v>179</x:v>
      </x:c>
      <x:c r="B184" s="15" t="s">
        <x:v>361</x:v>
      </x:c>
      <x:c r="C184" s="15" t="s">
        <x:v>285</x:v>
      </x:c>
      <x:c r="D184" s="15" t="s">
        <x:v>210</x:v>
      </x:c>
      <x:c r="E184" s="15" t="s">
        <x:v>163</x:v>
      </x:c>
      <x:c r="F184" s="16"/>
      <x:c r="G184" s="152" t="s">
        <x:v>267</x:v>
      </x:c>
      <x:c r="H184" s="149"/>
      <x:c r="I184" s="150"/>
      <x:c r="J184" s="150"/>
      <x:c r="K184" s="150"/>
      <x:c r="L184" s="178"/>
      <x:c r="M184" s="211"/>
      <x:c r="N184" s="137">
        <x:v>1</x:v>
      </x:c>
      <x:c r="O184" s="164">
        <x:v>3</x:v>
      </x:c>
      <x:c r="P184" s="164">
        <x:v>1</x:v>
      </x:c>
      <x:c r="Q184" s="164"/>
      <x:c r="R184" s="178" t="s">
        <x:v>188</x:v>
      </x:c>
      <x:c r="S184" s="212" t="s">
        <x:v>158</x:v>
      </x:c>
    </x:row>
    <x:row r="185" spans="1:19" s="37" customFormat="1" customHeight="1">
      <x:c r="A185" s="73">
        <x:v>180</x:v>
      </x:c>
      <x:c r="B185" s="16" t="s">
        <x:v>361</x:v>
      </x:c>
      <x:c r="C185" s="16" t="s">
        <x:v>381</x:v>
      </x:c>
      <x:c r="D185" s="16" t="s">
        <x:v>217</x:v>
      </x:c>
      <x:c r="E185" s="16" t="s">
        <x:v>227</x:v>
      </x:c>
      <x:c r="F185" s="16"/>
      <x:c r="G185" s="153" t="s">
        <x:v>267</x:v>
      </x:c>
      <x:c r="H185" s="149"/>
      <x:c r="I185" s="150">
        <x:v>2</x:v>
      </x:c>
      <x:c r="J185" s="150"/>
      <x:c r="K185" s="150"/>
      <x:c r="L185" s="178" t="s">
        <x:v>223</x:v>
      </x:c>
      <x:c r="M185" s="211" t="s">
        <x:v>158</x:v>
      </x:c>
      <x:c r="N185" s="137"/>
      <x:c r="O185" s="164"/>
      <x:c r="P185" s="164"/>
      <x:c r="Q185" s="164"/>
      <x:c r="R185" s="178"/>
      <x:c r="S185" s="212"/>
    </x:row>
    <x:row r="186" spans="1:19" s="9" customFormat="1" customHeight="1">
      <x:c r="A186" s="97">
        <x:v>181</x:v>
      </x:c>
      <x:c r="B186" s="16" t="s">
        <x:v>361</x:v>
      </x:c>
      <x:c r="C186" s="15" t="s">
        <x:v>285</x:v>
      </x:c>
      <x:c r="D186" s="15" t="s">
        <x:v>217</x:v>
      </x:c>
      <x:c r="E186" s="15" t="s">
        <x:v>147</x:v>
      </x:c>
      <x:c r="F186" s="16"/>
      <x:c r="G186" s="152" t="s">
        <x:v>267</x:v>
      </x:c>
      <x:c r="H186" s="149">
        <x:v>1</x:v>
      </x:c>
      <x:c r="I186" s="150">
        <x:v>1</x:v>
      </x:c>
      <x:c r="J186" s="150"/>
      <x:c r="K186" s="150"/>
      <x:c r="L186" s="178" t="s">
        <x:v>223</x:v>
      </x:c>
      <x:c r="M186" s="211" t="s">
        <x:v>162</x:v>
      </x:c>
      <x:c r="N186" s="137"/>
      <x:c r="O186" s="164"/>
      <x:c r="P186" s="164"/>
      <x:c r="Q186" s="164"/>
      <x:c r="R186" s="178"/>
      <x:c r="S186" s="212"/>
    </x:row>
    <x:row r="187" spans="1:19" s="9" customFormat="1" customHeight="1">
      <x:c r="A187" s="73">
        <x:v>182</x:v>
      </x:c>
      <x:c r="B187" s="16" t="s">
        <x:v>361</x:v>
      </x:c>
      <x:c r="C187" s="15" t="s">
        <x:v>285</x:v>
      </x:c>
      <x:c r="D187" s="15" t="s">
        <x:v>217</x:v>
      </x:c>
      <x:c r="E187" s="15" t="s">
        <x:v>184</x:v>
      </x:c>
      <x:c r="F187" s="16"/>
      <x:c r="G187" s="152" t="s">
        <x:v>267</x:v>
      </x:c>
      <x:c r="H187" s="149"/>
      <x:c r="I187" s="150"/>
      <x:c r="J187" s="150"/>
      <x:c r="K187" s="150"/>
      <x:c r="L187" s="178"/>
      <x:c r="M187" s="211"/>
      <x:c r="N187" s="137"/>
      <x:c r="O187" s="164">
        <x:v>2</x:v>
      </x:c>
      <x:c r="P187" s="164"/>
      <x:c r="Q187" s="164"/>
      <x:c r="R187" s="178" t="s">
        <x:v>175</x:v>
      </x:c>
      <x:c r="S187" s="212" t="s">
        <x:v>158</x:v>
      </x:c>
    </x:row>
    <x:row r="188" spans="1:19" s="9" customFormat="1" customHeight="1">
      <x:c r="A188" s="97">
        <x:v>183</x:v>
      </x:c>
      <x:c r="B188" s="16" t="s">
        <x:v>361</x:v>
      </x:c>
      <x:c r="C188" s="15" t="s">
        <x:v>381</x:v>
      </x:c>
      <x:c r="D188" s="15" t="s">
        <x:v>217</x:v>
      </x:c>
      <x:c r="E188" s="15" t="s">
        <x:v>226</x:v>
      </x:c>
      <x:c r="F188" s="16"/>
      <x:c r="G188" s="152" t="s">
        <x:v>267</x:v>
      </x:c>
      <x:c r="H188" s="149">
        <x:v>2</x:v>
      </x:c>
      <x:c r="I188" s="150">
        <x:v>3</x:v>
      </x:c>
      <x:c r="J188" s="150"/>
      <x:c r="K188" s="150"/>
      <x:c r="L188" s="178" t="s">
        <x:v>36</x:v>
      </x:c>
      <x:c r="M188" s="211" t="s">
        <x:v>162</x:v>
      </x:c>
      <x:c r="N188" s="137"/>
      <x:c r="O188" s="164"/>
      <x:c r="P188" s="164"/>
      <x:c r="Q188" s="164"/>
      <x:c r="R188" s="178"/>
      <x:c r="S188" s="212"/>
    </x:row>
    <x:row r="189" spans="1:19" s="9" customFormat="1" customHeight="1">
      <x:c r="A189" s="73">
        <x:v>184</x:v>
      </x:c>
      <x:c r="B189" s="16" t="s">
        <x:v>361</x:v>
      </x:c>
      <x:c r="C189" s="15" t="s">
        <x:v>381</x:v>
      </x:c>
      <x:c r="D189" s="16" t="s">
        <x:v>217</x:v>
      </x:c>
      <x:c r="E189" s="16" t="s">
        <x:v>157</x:v>
      </x:c>
      <x:c r="F189" s="16"/>
      <x:c r="G189" s="152" t="s">
        <x:v>267</x:v>
      </x:c>
      <x:c r="H189" s="149"/>
      <x:c r="I189" s="150"/>
      <x:c r="J189" s="150">
        <x:v>1</x:v>
      </x:c>
      <x:c r="K189" s="150"/>
      <x:c r="L189" s="178" t="s">
        <x:v>191</x:v>
      </x:c>
      <x:c r="M189" s="211" t="s">
        <x:v>188</x:v>
      </x:c>
      <x:c r="N189" s="137"/>
      <x:c r="O189" s="164">
        <x:v>1</x:v>
      </x:c>
      <x:c r="P189" s="164"/>
      <x:c r="Q189" s="164"/>
      <x:c r="R189" s="178" t="s">
        <x:v>175</x:v>
      </x:c>
      <x:c r="S189" s="212" t="s">
        <x:v>223</x:v>
      </x:c>
    </x:row>
    <x:row r="190" spans="1:19" s="9" customFormat="1" customHeight="1">
      <x:c r="A190" s="97">
        <x:v>185</x:v>
      </x:c>
      <x:c r="B190" s="16" t="s">
        <x:v>361</x:v>
      </x:c>
      <x:c r="C190" s="15" t="s">
        <x:v>285</x:v>
      </x:c>
      <x:c r="D190" s="15" t="s">
        <x:v>217</x:v>
      </x:c>
      <x:c r="E190" s="15" t="s">
        <x:v>78</x:v>
      </x:c>
      <x:c r="F190" s="16"/>
      <x:c r="G190" s="152" t="s">
        <x:v>267</x:v>
      </x:c>
      <x:c r="H190" s="149"/>
      <x:c r="I190" s="150"/>
      <x:c r="J190" s="150">
        <x:v>3</x:v>
      </x:c>
      <x:c r="K190" s="150"/>
      <x:c r="L190" s="178" t="s">
        <x:v>230</x:v>
      </x:c>
      <x:c r="M190" s="211" t="s">
        <x:v>36</x:v>
      </x:c>
      <x:c r="N190" s="137"/>
      <x:c r="O190" s="164"/>
      <x:c r="P190" s="164"/>
      <x:c r="Q190" s="164"/>
      <x:c r="R190" s="178"/>
      <x:c r="S190" s="212"/>
    </x:row>
    <x:row r="191" spans="1:19" s="8" customFormat="1" customHeight="1">
      <x:c r="A191" s="73">
        <x:v>186</x:v>
      </x:c>
      <x:c r="B191" s="86" t="s">
        <x:v>361</x:v>
      </x:c>
      <x:c r="C191" s="86"/>
      <x:c r="D191" s="86" t="s">
        <x:v>217</x:v>
      </x:c>
      <x:c r="E191" s="86" t="s">
        <x:v>195</x:v>
      </x:c>
      <x:c r="F191" s="86"/>
      <x:c r="G191" s="160" t="s">
        <x:v>267</x:v>
      </x:c>
      <x:c r="H191" s="149"/>
      <x:c r="I191" s="150"/>
      <x:c r="J191" s="150">
        <x:v>1</x:v>
      </x:c>
      <x:c r="K191" s="150"/>
      <x:c r="L191" s="150" t="s">
        <x:v>188</x:v>
      </x:c>
      <x:c r="M191" s="214" t="s">
        <x:v>36</x:v>
      </x:c>
      <x:c r="N191" s="142"/>
      <x:c r="O191" s="150"/>
      <x:c r="P191" s="150"/>
      <x:c r="Q191" s="150">
        <x:v>1</x:v>
      </x:c>
      <x:c r="R191" s="150" t="s">
        <x:v>225</x:v>
      </x:c>
      <x:c r="S191" s="213" t="s">
        <x:v>225</x:v>
      </x:c>
    </x:row>
    <x:row r="192" spans="1:19" s="9" customFormat="1" customHeight="1">
      <x:c r="A192" s="97">
        <x:v>187</x:v>
      </x:c>
      <x:c r="B192" s="16" t="s">
        <x:v>361</x:v>
      </x:c>
      <x:c r="C192" s="15" t="s">
        <x:v>285</x:v>
      </x:c>
      <x:c r="D192" s="15" t="s">
        <x:v>173</x:v>
      </x:c>
      <x:c r="E192" s="15" t="s">
        <x:v>229</x:v>
      </x:c>
      <x:c r="F192" s="16"/>
      <x:c r="G192" s="152" t="s">
        <x:v>267</x:v>
      </x:c>
      <x:c r="H192" s="149"/>
      <x:c r="I192" s="150">
        <x:v>2</x:v>
      </x:c>
      <x:c r="J192" s="150"/>
      <x:c r="K192" s="150"/>
      <x:c r="L192" s="178" t="s">
        <x:v>175</x:v>
      </x:c>
      <x:c r="M192" s="211" t="s">
        <x:v>158</x:v>
      </x:c>
      <x:c r="N192" s="137"/>
      <x:c r="O192" s="164"/>
      <x:c r="P192" s="164"/>
      <x:c r="Q192" s="164"/>
      <x:c r="R192" s="178"/>
      <x:c r="S192" s="212"/>
    </x:row>
    <x:row r="193" spans="1:19" s="9" customFormat="1" customHeight="1">
      <x:c r="A193" s="73">
        <x:v>188</x:v>
      </x:c>
      <x:c r="B193" s="16" t="s">
        <x:v>361</x:v>
      </x:c>
      <x:c r="C193" s="15" t="s">
        <x:v>285</x:v>
      </x:c>
      <x:c r="D193" s="15" t="s">
        <x:v>173</x:v>
      </x:c>
      <x:c r="E193" s="15" t="s">
        <x:v>135</x:v>
      </x:c>
      <x:c r="F193" s="16"/>
      <x:c r="G193" s="152" t="s">
        <x:v>267</x:v>
      </x:c>
      <x:c r="H193" s="149"/>
      <x:c r="I193" s="150"/>
      <x:c r="J193" s="150"/>
      <x:c r="K193" s="150"/>
      <x:c r="L193" s="178"/>
      <x:c r="M193" s="211"/>
      <x:c r="N193" s="137"/>
      <x:c r="O193" s="164"/>
      <x:c r="P193" s="164">
        <x:v>1</x:v>
      </x:c>
      <x:c r="Q193" s="164"/>
      <x:c r="R193" s="178" t="s">
        <x:v>230</x:v>
      </x:c>
      <x:c r="S193" s="212" t="s">
        <x:v>191</x:v>
      </x:c>
    </x:row>
    <x:row r="194" spans="1:19" s="37" customFormat="1" customHeight="1">
      <x:c r="A194" s="97">
        <x:v>189</x:v>
      </x:c>
      <x:c r="B194" s="16" t="s">
        <x:v>361</x:v>
      </x:c>
      <x:c r="C194" s="15" t="s">
        <x:v>381</x:v>
      </x:c>
      <x:c r="D194" s="15" t="s">
        <x:v>173</x:v>
      </x:c>
      <x:c r="E194" s="15" t="s">
        <x:v>136</x:v>
      </x:c>
      <x:c r="F194" s="16"/>
      <x:c r="G194" s="152" t="s">
        <x:v>267</x:v>
      </x:c>
      <x:c r="H194" s="149"/>
      <x:c r="I194" s="150"/>
      <x:c r="J194" s="150"/>
      <x:c r="K194" s="150"/>
      <x:c r="L194" s="178"/>
      <x:c r="M194" s="211"/>
      <x:c r="N194" s="137"/>
      <x:c r="O194" s="164"/>
      <x:c r="P194" s="164">
        <x:v>2</x:v>
      </x:c>
      <x:c r="Q194" s="164">
        <x:v>2</x:v>
      </x:c>
      <x:c r="R194" s="178" t="s">
        <x:v>191</x:v>
      </x:c>
      <x:c r="S194" s="212" t="s">
        <x:v>36</x:v>
      </x:c>
    </x:row>
    <x:row r="195" spans="1:19" s="9" customFormat="1" customHeight="1">
      <x:c r="A195" s="73">
        <x:v>190</x:v>
      </x:c>
      <x:c r="B195" s="16" t="s">
        <x:v>361</x:v>
      </x:c>
      <x:c r="C195" s="15" t="s">
        <x:v>285</x:v>
      </x:c>
      <x:c r="D195" s="15" t="s">
        <x:v>173</x:v>
      </x:c>
      <x:c r="E195" s="15" t="s">
        <x:v>120</x:v>
      </x:c>
      <x:c r="F195" s="16"/>
      <x:c r="G195" s="152" t="s">
        <x:v>267</x:v>
      </x:c>
      <x:c r="H195" s="149">
        <x:v>2</x:v>
      </x:c>
      <x:c r="I195" s="150"/>
      <x:c r="J195" s="150"/>
      <x:c r="K195" s="150"/>
      <x:c r="L195" s="178" t="s">
        <x:v>215</x:v>
      </x:c>
      <x:c r="M195" s="211" t="s">
        <x:v>225</x:v>
      </x:c>
      <x:c r="N195" s="137"/>
      <x:c r="O195" s="164"/>
      <x:c r="P195" s="164"/>
      <x:c r="Q195" s="164"/>
      <x:c r="R195" s="178"/>
      <x:c r="S195" s="212"/>
    </x:row>
    <x:row r="196" spans="1:19" s="9" customFormat="1" customHeight="1">
      <x:c r="A196" s="97">
        <x:v>191</x:v>
      </x:c>
      <x:c r="B196" s="16" t="s">
        <x:v>361</x:v>
      </x:c>
      <x:c r="C196" s="15" t="s">
        <x:v>381</x:v>
      </x:c>
      <x:c r="D196" s="15" t="s">
        <x:v>173</x:v>
      </x:c>
      <x:c r="E196" s="15" t="s">
        <x:v>74</x:v>
      </x:c>
      <x:c r="F196" s="16"/>
      <x:c r="G196" s="152" t="s">
        <x:v>267</x:v>
      </x:c>
      <x:c r="H196" s="149"/>
      <x:c r="I196" s="150"/>
      <x:c r="J196" s="150">
        <x:v>2</x:v>
      </x:c>
      <x:c r="K196" s="150"/>
      <x:c r="L196" s="178" t="s">
        <x:v>191</x:v>
      </x:c>
      <x:c r="M196" s="211" t="s">
        <x:v>36</x:v>
      </x:c>
      <x:c r="N196" s="137"/>
      <x:c r="O196" s="164"/>
      <x:c r="P196" s="164"/>
      <x:c r="Q196" s="164"/>
      <x:c r="R196" s="178"/>
      <x:c r="S196" s="212"/>
    </x:row>
    <x:row r="197" spans="1:19" s="9" customFormat="1" customHeight="1">
      <x:c r="A197" s="73">
        <x:v>192</x:v>
      </x:c>
      <x:c r="B197" s="16" t="s">
        <x:v>361</x:v>
      </x:c>
      <x:c r="C197" s="15" t="s">
        <x:v>285</x:v>
      </x:c>
      <x:c r="D197" s="15" t="s">
        <x:v>171</x:v>
      </x:c>
      <x:c r="E197" s="15" t="s">
        <x:v>119</x:v>
      </x:c>
      <x:c r="F197" s="16"/>
      <x:c r="G197" s="152" t="s">
        <x:v>267</x:v>
      </x:c>
      <x:c r="H197" s="149">
        <x:v>1</x:v>
      </x:c>
      <x:c r="I197" s="150"/>
      <x:c r="J197" s="150">
        <x:v>3</x:v>
      </x:c>
      <x:c r="K197" s="150"/>
      <x:c r="L197" s="178" t="s">
        <x:v>230</x:v>
      </x:c>
      <x:c r="M197" s="211" t="s">
        <x:v>36</x:v>
      </x:c>
      <x:c r="N197" s="137"/>
      <x:c r="O197" s="164"/>
      <x:c r="P197" s="164"/>
      <x:c r="Q197" s="164"/>
      <x:c r="R197" s="178"/>
      <x:c r="S197" s="212"/>
    </x:row>
    <x:row r="198" spans="1:19" s="9" customFormat="1" customHeight="1">
      <x:c r="A198" s="97">
        <x:v>193</x:v>
      </x:c>
      <x:c r="B198" s="16" t="s">
        <x:v>361</x:v>
      </x:c>
      <x:c r="C198" s="15" t="s">
        <x:v>381</x:v>
      </x:c>
      <x:c r="D198" s="15" t="s">
        <x:v>167</x:v>
      </x:c>
      <x:c r="E198" s="15" t="s">
        <x:v>118</x:v>
      </x:c>
      <x:c r="F198" s="16"/>
      <x:c r="G198" s="152" t="s">
        <x:v>267</x:v>
      </x:c>
      <x:c r="H198" s="149"/>
      <x:c r="I198" s="150"/>
      <x:c r="J198" s="150"/>
      <x:c r="K198" s="150"/>
      <x:c r="L198" s="178"/>
      <x:c r="M198" s="211"/>
      <x:c r="N198" s="137"/>
      <x:c r="O198" s="164">
        <x:v>2</x:v>
      </x:c>
      <x:c r="P198" s="164">
        <x:v>2</x:v>
      </x:c>
      <x:c r="Q198" s="164"/>
      <x:c r="R198" s="178" t="s">
        <x:v>191</x:v>
      </x:c>
      <x:c r="S198" s="212" t="s">
        <x:v>175</x:v>
      </x:c>
    </x:row>
    <x:row r="199" spans="1:19" s="37" customFormat="1" customHeight="1">
      <x:c r="A199" s="73">
        <x:v>194</x:v>
      </x:c>
      <x:c r="B199" s="54" t="s">
        <x:v>361</x:v>
      </x:c>
      <x:c r="C199" s="54" t="s">
        <x:v>347</x:v>
      </x:c>
      <x:c r="D199" s="54" t="s">
        <x:v>246</x:v>
      </x:c>
      <x:c r="E199" s="54" t="s">
        <x:v>28</x:v>
      </x:c>
      <x:c r="F199" s="16"/>
      <x:c r="G199" s="151" t="s">
        <x:v>272</x:v>
      </x:c>
      <x:c r="H199" s="149"/>
      <x:c r="I199" s="150"/>
      <x:c r="J199" s="150"/>
      <x:c r="K199" s="150"/>
      <x:c r="L199" s="178"/>
      <x:c r="M199" s="211"/>
      <x:c r="N199" s="137"/>
      <x:c r="O199" s="164"/>
      <x:c r="P199" s="164"/>
      <x:c r="Q199" s="164"/>
      <x:c r="R199" s="178"/>
      <x:c r="S199" s="212"/>
    </x:row>
    <x:row r="200" spans="1:19" s="37" customFormat="1" customHeight="1">
      <x:c r="A200" s="97">
        <x:v>195</x:v>
      </x:c>
      <x:c r="B200" s="65" t="s">
        <x:v>361</x:v>
      </x:c>
      <x:c r="C200" s="200" t="s">
        <x:v>371</x:v>
      </x:c>
      <x:c r="D200" s="200" t="s">
        <x:v>171</x:v>
      </x:c>
      <x:c r="E200" s="200" t="s">
        <x:v>108</x:v>
      </x:c>
      <x:c r="F200" s="113"/>
      <x:c r="G200" s="200" t="s">
        <x:v>272</x:v>
      </x:c>
      <x:c r="H200" s="149"/>
      <x:c r="I200" s="150"/>
      <x:c r="J200" s="150">
        <x:v>1</x:v>
      </x:c>
      <x:c r="K200" s="150"/>
      <x:c r="L200" s="178" t="s">
        <x:v>191</x:v>
      </x:c>
      <x:c r="M200" s="211" t="s">
        <x:v>188</x:v>
      </x:c>
      <x:c r="N200" s="137"/>
      <x:c r="O200" s="164"/>
      <x:c r="P200" s="164"/>
      <x:c r="Q200" s="164"/>
      <x:c r="R200" s="178"/>
      <x:c r="S200" s="212"/>
    </x:row>
    <x:row r="201" spans="1:19" s="9" customFormat="1" customHeight="1">
      <x:c r="A201" s="73">
        <x:v>196</x:v>
      </x:c>
      <x:c r="B201" s="65" t="s">
        <x:v>361</x:v>
      </x:c>
      <x:c r="C201" s="65" t="s">
        <x:v>285</x:v>
      </x:c>
      <x:c r="D201" s="65" t="s">
        <x:v>173</x:v>
      </x:c>
      <x:c r="E201" s="65" t="s">
        <x:v>93</x:v>
      </x:c>
      <x:c r="F201" s="16"/>
      <x:c r="G201" s="163" t="s">
        <x:v>267</x:v>
      </x:c>
      <x:c r="H201" s="149"/>
      <x:c r="I201" s="150"/>
      <x:c r="J201" s="150">
        <x:v>1</x:v>
      </x:c>
      <x:c r="K201" s="150">
        <x:v>2</x:v>
      </x:c>
      <x:c r="L201" s="178" t="s">
        <x:v>238</x:v>
      </x:c>
      <x:c r="M201" s="211" t="s">
        <x:v>230</x:v>
      </x:c>
      <x:c r="N201" s="137"/>
      <x:c r="O201" s="164">
        <x:v>1</x:v>
      </x:c>
      <x:c r="P201" s="164"/>
      <x:c r="Q201" s="164"/>
      <x:c r="R201" s="178" t="s">
        <x:v>223</x:v>
      </x:c>
      <x:c r="S201" s="212" t="s">
        <x:v>158</x:v>
      </x:c>
    </x:row>
    <x:row r="202" spans="1:19" s="9" customFormat="1" customHeight="1">
      <x:c r="A202" s="97">
        <x:v>197</x:v>
      </x:c>
      <x:c r="B202" s="113" t="s">
        <x:v>361</x:v>
      </x:c>
      <x:c r="C202" s="113" t="s">
        <x:v>381</x:v>
      </x:c>
      <x:c r="D202" s="113" t="s">
        <x:v>173</x:v>
      </x:c>
      <x:c r="E202" s="113" t="s">
        <x:v>111</x:v>
      </x:c>
      <x:c r="F202" s="16"/>
      <x:c r="G202" s="263" t="s">
        <x:v>267</x:v>
      </x:c>
      <x:c r="H202" s="149"/>
      <x:c r="I202" s="150"/>
      <x:c r="J202" s="150"/>
      <x:c r="K202" s="150"/>
      <x:c r="L202" s="178"/>
      <x:c r="M202" s="211"/>
      <x:c r="N202" s="137"/>
      <x:c r="O202" s="164"/>
      <x:c r="P202" s="164"/>
      <x:c r="Q202" s="164">
        <x:v>5</x:v>
      </x:c>
      <x:c r="R202" s="178" t="s">
        <x:v>238</x:v>
      </x:c>
      <x:c r="S202" s="212" t="s">
        <x:v>230</x:v>
      </x:c>
    </x:row>
    <x:row r="203" spans="1:19" s="9" customFormat="1" customHeight="1">
      <x:c r="A203" s="73">
        <x:v>198</x:v>
      </x:c>
      <x:c r="B203" s="54" t="s">
        <x:v>364</x:v>
      </x:c>
      <x:c r="C203" s="54" t="s">
        <x:v>275</x:v>
      </x:c>
      <x:c r="D203" s="54" t="s">
        <x:v>246</x:v>
      </x:c>
      <x:c r="E203" s="54" t="s">
        <x:v>213</x:v>
      </x:c>
      <x:c r="F203" s="16"/>
      <x:c r="G203" s="151" t="s">
        <x:v>272</x:v>
      </x:c>
      <x:c r="H203" s="171"/>
      <x:c r="I203" s="175"/>
      <x:c r="J203" s="175"/>
      <x:c r="K203" s="175"/>
      <x:c r="L203" s="178"/>
      <x:c r="M203" s="233"/>
      <x:c r="N203" s="173"/>
      <x:c r="O203" s="175"/>
      <x:c r="P203" s="175"/>
      <x:c r="Q203" s="175"/>
      <x:c r="R203" s="178"/>
      <x:c r="S203" s="232"/>
    </x:row>
    <x:row r="204" spans="1:19" s="9" customFormat="1" customHeight="1">
      <x:c r="A204" s="97">
        <x:v>199</x:v>
      </x:c>
      <x:c r="B204" s="54" t="s">
        <x:v>364</x:v>
      </x:c>
      <x:c r="C204" s="54" t="s">
        <x:v>275</x:v>
      </x:c>
      <x:c r="D204" s="54" t="s">
        <x:v>179</x:v>
      </x:c>
      <x:c r="E204" s="54" t="s">
        <x:v>204</x:v>
      </x:c>
      <x:c r="F204" s="16"/>
      <x:c r="G204" s="151" t="s">
        <x:v>272</x:v>
      </x:c>
      <x:c r="H204" s="171"/>
      <x:c r="I204" s="175"/>
      <x:c r="J204" s="175"/>
      <x:c r="K204" s="175"/>
      <x:c r="L204" s="178"/>
      <x:c r="M204" s="233"/>
      <x:c r="N204" s="173"/>
      <x:c r="O204" s="175"/>
      <x:c r="P204" s="175"/>
      <x:c r="Q204" s="175"/>
      <x:c r="R204" s="178"/>
      <x:c r="S204" s="232"/>
    </x:row>
    <x:row r="205" spans="1:19" s="9" customFormat="1" customHeight="1">
      <x:c r="A205" s="73">
        <x:v>200</x:v>
      </x:c>
      <x:c r="B205" s="54" t="s">
        <x:v>364</x:v>
      </x:c>
      <x:c r="C205" s="54" t="s">
        <x:v>275</x:v>
      </x:c>
      <x:c r="D205" s="54" t="s">
        <x:v>217</x:v>
      </x:c>
      <x:c r="E205" s="54" t="s">
        <x:v>233</x:v>
      </x:c>
      <x:c r="F205" s="16"/>
      <x:c r="G205" s="151" t="s">
        <x:v>272</x:v>
      </x:c>
      <x:c r="H205" s="171"/>
      <x:c r="I205" s="175"/>
      <x:c r="J205" s="175"/>
      <x:c r="K205" s="175"/>
      <x:c r="L205" s="178"/>
      <x:c r="M205" s="233"/>
      <x:c r="N205" s="173"/>
      <x:c r="O205" s="175"/>
      <x:c r="P205" s="175"/>
      <x:c r="Q205" s="175"/>
      <x:c r="R205" s="178"/>
      <x:c r="S205" s="232"/>
    </x:row>
    <x:row r="206" spans="1:19" s="9" customFormat="1" customHeight="1">
      <x:c r="A206" s="97">
        <x:v>201</x:v>
      </x:c>
      <x:c r="B206" s="54" t="s">
        <x:v>364</x:v>
      </x:c>
      <x:c r="C206" s="54" t="s">
        <x:v>252</x:v>
      </x:c>
      <x:c r="D206" s="54" t="s">
        <x:v>173</x:v>
      </x:c>
      <x:c r="E206" s="54" t="s">
        <x:v>247</x:v>
      </x:c>
      <x:c r="F206" s="16"/>
      <x:c r="G206" s="151" t="s">
        <x:v>272</x:v>
      </x:c>
      <x:c r="H206" s="171"/>
      <x:c r="I206" s="175"/>
      <x:c r="J206" s="175"/>
      <x:c r="K206" s="175"/>
      <x:c r="L206" s="178"/>
      <x:c r="M206" s="233"/>
      <x:c r="N206" s="173"/>
      <x:c r="O206" s="175"/>
      <x:c r="P206" s="175"/>
      <x:c r="Q206" s="175"/>
      <x:c r="R206" s="178"/>
      <x:c r="S206" s="232"/>
    </x:row>
    <x:row r="207" spans="1:19" s="9" customFormat="1" customHeight="1">
      <x:c r="A207" s="73">
        <x:v>202</x:v>
      </x:c>
      <x:c r="B207" s="54" t="s">
        <x:v>364</x:v>
      </x:c>
      <x:c r="C207" s="54" t="s">
        <x:v>275</x:v>
      </x:c>
      <x:c r="D207" s="54" t="s">
        <x:v>171</x:v>
      </x:c>
      <x:c r="E207" s="54" t="s">
        <x:v>49</x:v>
      </x:c>
      <x:c r="F207" s="16"/>
      <x:c r="G207" s="151" t="s">
        <x:v>272</x:v>
      </x:c>
      <x:c r="H207" s="171"/>
      <x:c r="I207" s="175"/>
      <x:c r="J207" s="175"/>
      <x:c r="K207" s="175"/>
      <x:c r="L207" s="178"/>
      <x:c r="M207" s="233"/>
      <x:c r="N207" s="173"/>
      <x:c r="O207" s="175"/>
      <x:c r="P207" s="175"/>
      <x:c r="Q207" s="175"/>
      <x:c r="R207" s="178"/>
      <x:c r="S207" s="232"/>
    </x:row>
    <x:row r="208" spans="1:19" s="8" customFormat="1" customHeight="1">
      <x:c r="A208" s="97">
        <x:v>203</x:v>
      </x:c>
      <x:c r="B208" s="86" t="s">
        <x:v>364</x:v>
      </x:c>
      <x:c r="C208" s="86" t="s">
        <x:v>349</x:v>
      </x:c>
      <x:c r="D208" s="86" t="s">
        <x:v>248</x:v>
      </x:c>
      <x:c r="E208" s="86" t="s">
        <x:v>88</x:v>
      </x:c>
      <x:c r="F208" s="86"/>
      <x:c r="G208" s="160" t="s">
        <x:v>267</x:v>
      </x:c>
      <x:c r="H208" s="149"/>
      <x:c r="I208" s="150"/>
      <x:c r="J208" s="150"/>
      <x:c r="K208" s="150"/>
      <x:c r="L208" s="150"/>
      <x:c r="M208" s="214"/>
      <x:c r="N208" s="142"/>
      <x:c r="O208" s="150"/>
      <x:c r="P208" s="150"/>
      <x:c r="Q208" s="150"/>
      <x:c r="R208" s="150"/>
      <x:c r="S208" s="213"/>
    </x:row>
    <x:row r="209" spans="1:19" s="8" customFormat="1" customHeight="1">
      <x:c r="A209" s="73">
        <x:v>204</x:v>
      </x:c>
      <x:c r="B209" s="86" t="s">
        <x:v>364</x:v>
      </x:c>
      <x:c r="C209" s="86" t="s">
        <x:v>285</x:v>
      </x:c>
      <x:c r="D209" s="86" t="s">
        <x:v>248</x:v>
      </x:c>
      <x:c r="E209" s="86" t="s">
        <x:v>207</x:v>
      </x:c>
      <x:c r="F209" s="86"/>
      <x:c r="G209" s="160" t="s">
        <x:v>267</x:v>
      </x:c>
      <x:c r="H209" s="149"/>
      <x:c r="I209" s="150"/>
      <x:c r="J209" s="150"/>
      <x:c r="K209" s="150"/>
      <x:c r="L209" s="150"/>
      <x:c r="M209" s="214"/>
      <x:c r="N209" s="142"/>
      <x:c r="O209" s="150"/>
      <x:c r="P209" s="150"/>
      <x:c r="Q209" s="150"/>
      <x:c r="R209" s="150"/>
      <x:c r="S209" s="213"/>
    </x:row>
    <x:row r="210" spans="1:19" s="9" customFormat="1" customHeight="1">
      <x:c r="A210" s="97">
        <x:v>205</x:v>
      </x:c>
      <x:c r="B210" s="15" t="s">
        <x:v>364</x:v>
      </x:c>
      <x:c r="C210" s="15" t="s">
        <x:v>285</x:v>
      </x:c>
      <x:c r="D210" s="15" t="s">
        <x:v>168</x:v>
      </x:c>
      <x:c r="E210" s="15" t="s">
        <x:v>58</x:v>
      </x:c>
      <x:c r="F210" s="15"/>
      <x:c r="G210" s="152" t="s">
        <x:v>267</x:v>
      </x:c>
      <x:c r="H210" s="149"/>
      <x:c r="I210" s="150"/>
      <x:c r="J210" s="150"/>
      <x:c r="K210" s="150"/>
      <x:c r="L210" s="178"/>
      <x:c r="M210" s="211"/>
      <x:c r="N210" s="137">
        <x:v>1</x:v>
      </x:c>
      <x:c r="O210" s="164"/>
      <x:c r="P210" s="164">
        <x:v>2</x:v>
      </x:c>
      <x:c r="Q210" s="164"/>
      <x:c r="R210" s="178" t="s">
        <x:v>191</x:v>
      </x:c>
      <x:c r="S210" s="212" t="s">
        <x:v>36</x:v>
      </x:c>
    </x:row>
    <x:row r="211" spans="1:19" s="9" customFormat="1" customHeight="1">
      <x:c r="A211" s="73">
        <x:v>206</x:v>
      </x:c>
      <x:c r="B211" s="15" t="s">
        <x:v>364</x:v>
      </x:c>
      <x:c r="C211" s="15" t="s">
        <x:v>349</x:v>
      </x:c>
      <x:c r="D211" s="16" t="s">
        <x:v>273</x:v>
      </x:c>
      <x:c r="E211" s="16" t="s">
        <x:v>64</x:v>
      </x:c>
      <x:c r="F211" s="15"/>
      <x:c r="G211" s="153" t="s">
        <x:v>267</x:v>
      </x:c>
      <x:c r="H211" s="149"/>
      <x:c r="I211" s="150"/>
      <x:c r="J211" s="150"/>
      <x:c r="K211" s="150"/>
      <x:c r="L211" s="178"/>
      <x:c r="M211" s="211"/>
      <x:c r="N211" s="137"/>
      <x:c r="O211" s="164"/>
      <x:c r="P211" s="164"/>
      <x:c r="Q211" s="164">
        <x:v>3</x:v>
      </x:c>
      <x:c r="R211" s="178" t="s">
        <x:v>201</x:v>
      </x:c>
      <x:c r="S211" s="212" t="s">
        <x:v>230</x:v>
      </x:c>
    </x:row>
    <x:row r="212" spans="1:19" s="9" customFormat="1" customHeight="1">
      <x:c r="A212" s="97">
        <x:v>207</x:v>
      </x:c>
      <x:c r="B212" s="15" t="s">
        <x:v>364</x:v>
      </x:c>
      <x:c r="C212" s="15" t="s">
        <x:v>285</x:v>
      </x:c>
      <x:c r="D212" s="15" t="s">
        <x:v>210</x:v>
      </x:c>
      <x:c r="E212" s="15" t="s">
        <x:v>33</x:v>
      </x:c>
      <x:c r="F212" s="15"/>
      <x:c r="G212" s="152" t="s">
        <x:v>267</x:v>
      </x:c>
      <x:c r="H212" s="149"/>
      <x:c r="I212" s="150"/>
      <x:c r="J212" s="150">
        <x:v>2</x:v>
      </x:c>
      <x:c r="K212" s="150"/>
      <x:c r="L212" s="178" t="s">
        <x:v>191</x:v>
      </x:c>
      <x:c r="M212" s="211" t="s">
        <x:v>36</x:v>
      </x:c>
      <x:c r="N212" s="137"/>
      <x:c r="O212" s="164"/>
      <x:c r="P212" s="164"/>
      <x:c r="Q212" s="164"/>
      <x:c r="R212" s="178"/>
      <x:c r="S212" s="212"/>
    </x:row>
    <x:row r="213" spans="1:19" s="9" customFormat="1" customHeight="1">
      <x:c r="A213" s="73">
        <x:v>208</x:v>
      </x:c>
      <x:c r="B213" s="15" t="s">
        <x:v>364</x:v>
      </x:c>
      <x:c r="C213" s="15" t="s">
        <x:v>349</x:v>
      </x:c>
      <x:c r="D213" s="15" t="s">
        <x:v>210</x:v>
      </x:c>
      <x:c r="E213" s="15" t="s">
        <x:v>80</x:v>
      </x:c>
      <x:c r="F213" s="15"/>
      <x:c r="G213" s="152" t="s">
        <x:v>267</x:v>
      </x:c>
      <x:c r="H213" s="149"/>
      <x:c r="I213" s="150"/>
      <x:c r="J213" s="150"/>
      <x:c r="K213" s="150"/>
      <x:c r="L213" s="178"/>
      <x:c r="M213" s="211"/>
      <x:c r="N213" s="137"/>
      <x:c r="O213" s="164"/>
      <x:c r="P213" s="164">
        <x:v>3</x:v>
      </x:c>
      <x:c r="Q213" s="164"/>
      <x:c r="R213" s="178" t="s">
        <x:v>230</x:v>
      </x:c>
      <x:c r="S213" s="212" t="s">
        <x:v>36</x:v>
      </x:c>
    </x:row>
    <x:row r="214" spans="1:20" s="192" customFormat="1" customHeight="1">
      <x:c r="A214" s="97">
        <x:v>209</x:v>
      </x:c>
      <x:c r="B214" s="16" t="s">
        <x:v>364</x:v>
      </x:c>
      <x:c r="C214" s="16" t="s">
        <x:v>285</x:v>
      </x:c>
      <x:c r="D214" s="16" t="s">
        <x:v>210</x:v>
      </x:c>
      <x:c r="E214" s="16" t="s">
        <x:v>94</x:v>
      </x:c>
      <x:c r="F214" s="16"/>
      <x:c r="G214" s="153" t="s">
        <x:v>267</x:v>
      </x:c>
      <x:c r="H214" s="149">
        <x:v>1</x:v>
      </x:c>
      <x:c r="I214" s="150"/>
      <x:c r="J214" s="150">
        <x:v>3</x:v>
      </x:c>
      <x:c r="K214" s="150"/>
      <x:c r="L214" s="178" t="s">
        <x:v>230</x:v>
      </x:c>
      <x:c r="M214" s="211" t="s">
        <x:v>191</x:v>
      </x:c>
      <x:c r="N214" s="137"/>
      <x:c r="O214" s="164"/>
      <x:c r="P214" s="164"/>
      <x:c r="Q214" s="164"/>
      <x:c r="R214" s="178"/>
      <x:c r="S214" s="212"/>
      <x:c r="T214" s="37"/>
    </x:row>
    <x:row r="215" spans="1:19" s="9" customFormat="1" customHeight="1">
      <x:c r="A215" s="73">
        <x:v>210</x:v>
      </x:c>
      <x:c r="B215" s="15" t="s">
        <x:v>364</x:v>
      </x:c>
      <x:c r="C215" s="15" t="s">
        <x:v>349</x:v>
      </x:c>
      <x:c r="D215" s="15" t="s">
        <x:v>217</x:v>
      </x:c>
      <x:c r="E215" s="15" t="s">
        <x:v>121</x:v>
      </x:c>
      <x:c r="F215" s="15"/>
      <x:c r="G215" s="152" t="s">
        <x:v>267</x:v>
      </x:c>
      <x:c r="H215" s="149"/>
      <x:c r="I215" s="150"/>
      <x:c r="J215" s="150"/>
      <x:c r="K215" s="150"/>
      <x:c r="L215" s="178"/>
      <x:c r="M215" s="211"/>
      <x:c r="N215" s="137"/>
      <x:c r="O215" s="164">
        <x:v>1</x:v>
      </x:c>
      <x:c r="P215" s="164"/>
      <x:c r="Q215" s="164"/>
      <x:c r="R215" s="178" t="s">
        <x:v>223</x:v>
      </x:c>
      <x:c r="S215" s="212" t="s">
        <x:v>158</x:v>
      </x:c>
    </x:row>
    <x:row r="216" spans="1:19" s="9" customFormat="1" customHeight="1">
      <x:c r="A216" s="97">
        <x:v>211</x:v>
      </x:c>
      <x:c r="B216" s="15" t="s">
        <x:v>364</x:v>
      </x:c>
      <x:c r="C216" s="15" t="s">
        <x:v>349</x:v>
      </x:c>
      <x:c r="D216" s="15" t="s">
        <x:v>217</x:v>
      </x:c>
      <x:c r="E216" s="15" t="s">
        <x:v>176</x:v>
      </x:c>
      <x:c r="F216" s="16"/>
      <x:c r="G216" s="152" t="s">
        <x:v>267</x:v>
      </x:c>
      <x:c r="H216" s="149"/>
      <x:c r="I216" s="150"/>
      <x:c r="J216" s="150"/>
      <x:c r="K216" s="150"/>
      <x:c r="L216" s="178"/>
      <x:c r="M216" s="211"/>
      <x:c r="N216" s="137"/>
      <x:c r="O216" s="164"/>
      <x:c r="P216" s="164"/>
      <x:c r="Q216" s="164"/>
      <x:c r="R216" s="178"/>
      <x:c r="S216" s="212"/>
    </x:row>
    <x:row r="217" spans="1:19" s="37" customFormat="1" customHeight="1">
      <x:c r="A217" s="73">
        <x:v>212</x:v>
      </x:c>
      <x:c r="B217" s="15" t="s">
        <x:v>364</x:v>
      </x:c>
      <x:c r="C217" s="15" t="s">
        <x:v>349</x:v>
      </x:c>
      <x:c r="D217" s="16" t="s">
        <x:v>173</x:v>
      </x:c>
      <x:c r="E217" s="16" t="s">
        <x:v>27</x:v>
      </x:c>
      <x:c r="F217" s="15"/>
      <x:c r="G217" s="152" t="s">
        <x:v>267</x:v>
      </x:c>
      <x:c r="H217" s="149"/>
      <x:c r="I217" s="150"/>
      <x:c r="J217" s="150"/>
      <x:c r="K217" s="150"/>
      <x:c r="L217" s="178"/>
      <x:c r="M217" s="211"/>
      <x:c r="N217" s="137"/>
      <x:c r="O217" s="164">
        <x:v>2</x:v>
      </x:c>
      <x:c r="P217" s="164"/>
      <x:c r="Q217" s="164"/>
      <x:c r="R217" s="178" t="s">
        <x:v>175</x:v>
      </x:c>
      <x:c r="S217" s="212" t="s">
        <x:v>158</x:v>
      </x:c>
    </x:row>
    <x:row r="218" spans="1:19" s="37" customFormat="1" customHeight="1">
      <x:c r="A218" s="97">
        <x:v>213</x:v>
      </x:c>
      <x:c r="B218" s="15" t="s">
        <x:v>364</x:v>
      </x:c>
      <x:c r="C218" s="15" t="s">
        <x:v>349</x:v>
      </x:c>
      <x:c r="D218" s="15" t="s">
        <x:v>173</x:v>
      </x:c>
      <x:c r="E218" s="15" t="s">
        <x:v>205</x:v>
      </x:c>
      <x:c r="F218" s="15"/>
      <x:c r="G218" s="152" t="s">
        <x:v>267</x:v>
      </x:c>
      <x:c r="H218" s="149">
        <x:v>1</x:v>
      </x:c>
      <x:c r="I218" s="150"/>
      <x:c r="J218" s="150"/>
      <x:c r="K218" s="150"/>
      <x:c r="L218" s="178" t="s">
        <x:v>215</x:v>
      </x:c>
      <x:c r="M218" s="211" t="s">
        <x:v>162</x:v>
      </x:c>
      <x:c r="N218" s="137"/>
      <x:c r="O218" s="164"/>
      <x:c r="P218" s="164"/>
      <x:c r="Q218" s="164"/>
      <x:c r="R218" s="178"/>
      <x:c r="S218" s="212"/>
    </x:row>
    <x:row r="219" spans="1:19" s="37" customFormat="1" customHeight="1">
      <x:c r="A219" s="73">
        <x:v>214</x:v>
      </x:c>
      <x:c r="B219" s="86" t="s">
        <x:v>364</x:v>
      </x:c>
      <x:c r="C219" s="86" t="s">
        <x:v>381</x:v>
      </x:c>
      <x:c r="D219" s="86" t="s">
        <x:v>173</x:v>
      </x:c>
      <x:c r="E219" s="86" t="s">
        <x:v>99</x:v>
      </x:c>
      <x:c r="F219" s="160" t="s">
        <x:v>267</x:v>
      </x:c>
      <x:c r="G219" s="160" t="s">
        <x:v>267</x:v>
      </x:c>
      <x:c r="H219" s="149"/>
      <x:c r="I219" s="150"/>
      <x:c r="J219" s="150"/>
      <x:c r="K219" s="150"/>
      <x:c r="L219" s="150"/>
      <x:c r="M219" s="214"/>
      <x:c r="N219" s="142"/>
      <x:c r="O219" s="150"/>
      <x:c r="P219" s="150">
        <x:v>1</x:v>
      </x:c>
      <x:c r="Q219" s="150"/>
      <x:c r="R219" s="150" t="s">
        <x:v>230</x:v>
      </x:c>
      <x:c r="S219" s="213" t="s">
        <x:v>191</x:v>
      </x:c>
    </x:row>
    <x:row r="220" spans="1:19" s="37" customFormat="1" customHeight="1">
      <x:c r="A220" s="97">
        <x:v>215</x:v>
      </x:c>
      <x:c r="B220" s="86" t="s">
        <x:v>364</x:v>
      </x:c>
      <x:c r="C220" s="86" t="s">
        <x:v>285</x:v>
      </x:c>
      <x:c r="D220" s="86" t="s">
        <x:v>173</x:v>
      </x:c>
      <x:c r="E220" s="86" t="s">
        <x:v>45</x:v>
      </x:c>
      <x:c r="F220" s="86"/>
      <x:c r="G220" s="160" t="s">
        <x:v>267</x:v>
      </x:c>
      <x:c r="H220" s="149"/>
      <x:c r="I220" s="150"/>
      <x:c r="J220" s="150"/>
      <x:c r="K220" s="150"/>
      <x:c r="L220" s="150"/>
      <x:c r="M220" s="214"/>
      <x:c r="N220" s="142"/>
      <x:c r="O220" s="150"/>
      <x:c r="P220" s="150"/>
      <x:c r="Q220" s="150"/>
      <x:c r="R220" s="150"/>
      <x:c r="S220" s="213"/>
    </x:row>
    <x:row r="221" spans="1:19" s="9" customFormat="1" customHeight="1">
      <x:c r="A221" s="73">
        <x:v>216</x:v>
      </x:c>
      <x:c r="B221" s="15" t="s">
        <x:v>364</x:v>
      </x:c>
      <x:c r="C221" s="15" t="s">
        <x:v>285</x:v>
      </x:c>
      <x:c r="D221" s="15" t="s">
        <x:v>173</x:v>
      </x:c>
      <x:c r="E221" s="15" t="s">
        <x:v>43</x:v>
      </x:c>
      <x:c r="F221" s="15"/>
      <x:c r="G221" s="152" t="s">
        <x:v>267</x:v>
      </x:c>
      <x:c r="H221" s="149">
        <x:v>1</x:v>
      </x:c>
      <x:c r="I221" s="150"/>
      <x:c r="J221" s="150">
        <x:v>2</x:v>
      </x:c>
      <x:c r="K221" s="150"/>
      <x:c r="L221" s="178" t="s">
        <x:v>230</x:v>
      </x:c>
      <x:c r="M221" s="211" t="s">
        <x:v>188</x:v>
      </x:c>
      <x:c r="N221" s="137"/>
      <x:c r="O221" s="164"/>
      <x:c r="P221" s="164"/>
      <x:c r="Q221" s="164"/>
      <x:c r="R221" s="178"/>
      <x:c r="S221" s="212"/>
    </x:row>
    <x:row r="222" spans="1:19" s="9" customFormat="1" customHeight="1">
      <x:c r="A222" s="97">
        <x:v>217</x:v>
      </x:c>
      <x:c r="B222" s="15" t="s">
        <x:v>364</x:v>
      </x:c>
      <x:c r="C222" s="15" t="s">
        <x:v>349</x:v>
      </x:c>
      <x:c r="D222" s="15" t="s">
        <x:v>171</x:v>
      </x:c>
      <x:c r="E222" s="15" t="s">
        <x:v>55</x:v>
      </x:c>
      <x:c r="F222" s="15"/>
      <x:c r="G222" s="152" t="s">
        <x:v>267</x:v>
      </x:c>
      <x:c r="H222" s="149"/>
      <x:c r="I222" s="150"/>
      <x:c r="J222" s="150"/>
      <x:c r="K222" s="150"/>
      <x:c r="L222" s="178"/>
      <x:c r="M222" s="211"/>
      <x:c r="N222" s="137"/>
      <x:c r="O222" s="164"/>
      <x:c r="P222" s="164">
        <x:v>3</x:v>
      </x:c>
      <x:c r="Q222" s="164"/>
      <x:c r="R222" s="178" t="s">
        <x:v>230</x:v>
      </x:c>
      <x:c r="S222" s="212" t="s">
        <x:v>36</x:v>
      </x:c>
    </x:row>
    <x:row r="223" spans="1:19" s="9" customFormat="1" customHeight="1">
      <x:c r="A223" s="73">
        <x:v>218</x:v>
      </x:c>
      <x:c r="B223" s="15" t="s">
        <x:v>364</x:v>
      </x:c>
      <x:c r="C223" s="17" t="s">
        <x:v>349</x:v>
      </x:c>
      <x:c r="D223" s="17" t="s">
        <x:v>167</x:v>
      </x:c>
      <x:c r="E223" s="17" t="s">
        <x:v>35</x:v>
      </x:c>
      <x:c r="F223" s="17"/>
      <x:c r="G223" s="39" t="s">
        <x:v>267</x:v>
      </x:c>
      <x:c r="H223" s="149"/>
      <x:c r="I223" s="150"/>
      <x:c r="J223" s="150"/>
      <x:c r="K223" s="150"/>
      <x:c r="L223" s="178"/>
      <x:c r="M223" s="211"/>
      <x:c r="N223" s="137"/>
      <x:c r="O223" s="164"/>
      <x:c r="P223" s="164">
        <x:v>3</x:v>
      </x:c>
      <x:c r="Q223" s="164">
        <x:v>1</x:v>
      </x:c>
      <x:c r="R223" s="178" t="s">
        <x:v>201</x:v>
      </x:c>
      <x:c r="S223" s="212" t="s">
        <x:v>36</x:v>
      </x:c>
    </x:row>
    <x:row r="224" spans="1:20" s="9" customFormat="1" customHeight="1">
      <x:c r="A224" s="68">
        <x:v>219</x:v>
      </x:c>
      <x:c r="B224" s="68" t="s">
        <x:v>364</x:v>
      </x:c>
      <x:c r="C224" s="68" t="s">
        <x:v>285</x:v>
      </x:c>
      <x:c r="D224" s="68" t="s">
        <x:v>167</x:v>
      </x:c>
      <x:c r="E224" s="68" t="s">
        <x:v>66</x:v>
      </x:c>
      <x:c r="F224" s="68"/>
      <x:c r="G224" s="77" t="s">
        <x:v>267</x:v>
      </x:c>
      <x:c r="H224" s="188"/>
      <x:c r="I224" s="189"/>
      <x:c r="J224" s="189"/>
      <x:c r="K224" s="189">
        <x:v>5</x:v>
      </x:c>
      <x:c r="L224" s="189" t="s">
        <x:v>238</x:v>
      </x:c>
      <x:c r="M224" s="245" t="s">
        <x:v>230</x:v>
      </x:c>
      <x:c r="N224" s="190"/>
      <x:c r="O224" s="189"/>
      <x:c r="P224" s="189"/>
      <x:c r="Q224" s="189"/>
      <x:c r="R224" s="189"/>
      <x:c r="S224" s="188"/>
      <x:c r="T224" s="8"/>
    </x:row>
    <x:row r="225" spans="20:25">
      <x:c r="T225" s="2"/>
      <x:c r="U225" s="4"/>
      <x:c r="V225" s="4"/>
      <x:c r="W225" s="4"/>
      <x:c r="X225" s="4"/>
      <x:c r="Y225" s="4"/>
    </x:row>
    <x:row r="226" spans="20:25">
      <x:c r="T226" s="4"/>
      <x:c r="U226" s="4"/>
      <x:c r="V226" s="4"/>
      <x:c r="W226" s="4"/>
      <x:c r="X226" s="4"/>
      <x:c r="Y226" s="4"/>
    </x:row>
    <x:row r="227" spans="20:25">
      <x:c r="T227" s="4"/>
      <x:c r="U227" s="4"/>
      <x:c r="V227" s="4"/>
      <x:c r="W227" s="4"/>
      <x:c r="X227" s="4"/>
      <x:c r="Y227" s="4"/>
    </x:row>
    <x:row r="228" spans="20:25">
      <x:c r="T228" s="4"/>
      <x:c r="U228" s="4"/>
      <x:c r="V228" s="4"/>
      <x:c r="W228" s="4"/>
      <x:c r="X228" s="4"/>
      <x:c r="Y228" s="4"/>
    </x:row>
    <x:row r="229" spans="20:25">
      <x:c r="T229" s="4"/>
      <x:c r="U229" s="4"/>
      <x:c r="V229" s="4"/>
      <x:c r="W229" s="4"/>
      <x:c r="X229" s="4"/>
      <x:c r="Y229" s="4"/>
    </x:row>
    <x:row r="230" spans="20:25">
      <x:c r="T230" s="4"/>
      <x:c r="U230" s="4"/>
      <x:c r="V230" s="4"/>
      <x:c r="W230" s="4"/>
      <x:c r="X230" s="4"/>
      <x:c r="Y230" s="4"/>
    </x:row>
    <x:row r="231" spans="20:25">
      <x:c r="T231" s="4"/>
      <x:c r="U231" s="4"/>
      <x:c r="V231" s="4"/>
      <x:c r="W231" s="4"/>
      <x:c r="X231" s="4"/>
      <x:c r="Y231" s="4"/>
    </x:row>
    <x:row r="232" spans="20:25">
      <x:c r="T232" s="4"/>
      <x:c r="U232" s="4"/>
      <x:c r="V232" s="4"/>
      <x:c r="W232" s="4"/>
      <x:c r="X232" s="4"/>
      <x:c r="Y232" s="4"/>
    </x:row>
    <x:row r="233" spans="20:25">
      <x:c r="T233" s="4"/>
      <x:c r="U233" s="4"/>
      <x:c r="V233" s="4"/>
      <x:c r="W233" s="4"/>
      <x:c r="X233" s="4"/>
      <x:c r="Y233" s="4"/>
    </x:row>
    <x:row r="234" spans="20:25">
      <x:c r="T234" s="4"/>
      <x:c r="U234" s="4"/>
      <x:c r="V234" s="4"/>
      <x:c r="W234" s="4"/>
      <x:c r="X234" s="4"/>
      <x:c r="Y234" s="4"/>
    </x:row>
    <x:row r="235" spans="20:25">
      <x:c r="T235" s="4"/>
      <x:c r="U235" s="4"/>
      <x:c r="V235" s="4"/>
      <x:c r="W235" s="4"/>
      <x:c r="X235" s="4"/>
      <x:c r="Y235" s="4"/>
    </x:row>
    <x:row r="236" spans="20:25">
      <x:c r="T236" s="4"/>
      <x:c r="U236" s="4"/>
      <x:c r="V236" s="4"/>
      <x:c r="W236" s="4"/>
      <x:c r="X236" s="4"/>
      <x:c r="Y236" s="4"/>
    </x:row>
    <x:row r="237" spans="20:25">
      <x:c r="T237" s="4"/>
      <x:c r="U237" s="4"/>
      <x:c r="V237" s="4"/>
      <x:c r="W237" s="4"/>
      <x:c r="X237" s="4"/>
      <x:c r="Y237" s="4"/>
    </x:row>
    <x:row r="238" spans="20:25">
      <x:c r="T238" s="4"/>
      <x:c r="U238" s="4"/>
      <x:c r="V238" s="4"/>
      <x:c r="W238" s="4"/>
      <x:c r="X238" s="4"/>
      <x:c r="Y238" s="4"/>
    </x:row>
    <x:row r="239" spans="20:25">
      <x:c r="T239" s="4"/>
      <x:c r="U239" s="4"/>
      <x:c r="V239" s="4"/>
      <x:c r="W239" s="4"/>
      <x:c r="X239" s="4"/>
      <x:c r="Y239" s="4"/>
    </x:row>
    <x:row r="240" spans="20:25">
      <x:c r="T240" s="4"/>
      <x:c r="U240" s="4"/>
      <x:c r="V240" s="4"/>
      <x:c r="W240" s="4"/>
      <x:c r="X240" s="4"/>
      <x:c r="Y240" s="4"/>
    </x:row>
    <x:row r="241" spans="20:25">
      <x:c r="T241" s="4"/>
      <x:c r="U241" s="4"/>
      <x:c r="V241" s="4"/>
      <x:c r="W241" s="4"/>
      <x:c r="X241" s="4"/>
      <x:c r="Y241" s="4"/>
    </x:row>
    <x:row r="242" spans="20:25">
      <x:c r="T242" s="4"/>
      <x:c r="U242" s="4"/>
      <x:c r="V242" s="4"/>
      <x:c r="W242" s="4"/>
      <x:c r="X242" s="4"/>
      <x:c r="Y242" s="4"/>
    </x:row>
    <x:row r="243" spans="20:25">
      <x:c r="T243" s="4"/>
      <x:c r="U243" s="4"/>
      <x:c r="V243" s="4"/>
      <x:c r="W243" s="4"/>
      <x:c r="X243" s="4"/>
      <x:c r="Y243" s="4"/>
    </x:row>
    <x:row r="244" spans="20:25">
      <x:c r="T244" s="4"/>
      <x:c r="U244" s="4"/>
      <x:c r="V244" s="4"/>
      <x:c r="W244" s="4"/>
      <x:c r="X244" s="4"/>
      <x:c r="Y244" s="4"/>
    </x:row>
    <x:row r="245" spans="20:25">
      <x:c r="T245" s="4"/>
      <x:c r="U245" s="4"/>
      <x:c r="V245" s="4"/>
      <x:c r="W245" s="4"/>
      <x:c r="X245" s="4"/>
      <x:c r="Y245" s="4"/>
    </x:row>
    <x:row r="246" spans="20:25">
      <x:c r="T246" s="4"/>
      <x:c r="U246" s="4"/>
      <x:c r="V246" s="4"/>
      <x:c r="W246" s="4"/>
      <x:c r="X246" s="4"/>
      <x:c r="Y246" s="4"/>
    </x:row>
    <x:row r="247" spans="20:25">
      <x:c r="T247" s="4"/>
      <x:c r="U247" s="4"/>
      <x:c r="V247" s="4"/>
      <x:c r="W247" s="4"/>
      <x:c r="X247" s="4"/>
      <x:c r="Y247" s="4"/>
    </x:row>
    <x:row r="248" spans="20:25">
      <x:c r="T248" s="4"/>
      <x:c r="U248" s="4"/>
      <x:c r="V248" s="4"/>
      <x:c r="W248" s="4"/>
      <x:c r="X248" s="4"/>
      <x:c r="Y248" s="4"/>
    </x:row>
    <x:row r="249" spans="20:25">
      <x:c r="T249" s="4"/>
      <x:c r="U249" s="4"/>
      <x:c r="V249" s="4"/>
      <x:c r="W249" s="4"/>
      <x:c r="X249" s="4"/>
      <x:c r="Y249" s="4"/>
    </x:row>
    <x:row r="250" spans="20:25">
      <x:c r="T250" s="4"/>
      <x:c r="U250" s="4"/>
      <x:c r="V250" s="4"/>
      <x:c r="W250" s="4"/>
      <x:c r="X250" s="4"/>
      <x:c r="Y250" s="4"/>
    </x:row>
    <x:row r="251" spans="20:25">
      <x:c r="T251" s="4"/>
      <x:c r="U251" s="4"/>
      <x:c r="V251" s="4"/>
      <x:c r="W251" s="4"/>
      <x:c r="X251" s="4"/>
      <x:c r="Y251" s="4"/>
    </x:row>
    <x:row r="253" spans="8:18">
      <x:c r="H253" s="144">
        <x:f>SUM(H174:H202)</x:f>
        <x:v>9</x:v>
      </x:c>
      <x:c r="I253" s="144">
        <x:f t="shared" ref="I253:Q253" si="0">SUM(I174:I202)</x:f>
        <x:v>8</x:v>
      </x:c>
      <x:c r="J253" s="144">
        <x:f t="shared" si="0"/>
        <x:v>12</x:v>
      </x:c>
      <x:c r="K253" s="144">
        <x:f t="shared" si="0"/>
        <x:v>2</x:v>
      </x:c>
      <x:c r="L253" s="144">
        <x:f>SUM(H253:K253)</x:f>
        <x:v>31</x:v>
      </x:c>
      <x:c r="N253" s="144">
        <x:f t="shared" si="0"/>
        <x:v>2</x:v>
      </x:c>
      <x:c r="O253" s="144">
        <x:f t="shared" si="0"/>
        <x:v>11</x:v>
      </x:c>
      <x:c r="P253" s="144">
        <x:f t="shared" si="0"/>
        <x:v>6</x:v>
      </x:c>
      <x:c r="Q253" s="144">
        <x:f t="shared" si="0"/>
        <x:v>8</x:v>
      </x:c>
      <x:c r="R253" s="144">
        <x:f>SUM(N253:Q253)</x:f>
        <x:v>27</x:v>
      </x:c>
    </x:row>
    <x:row r="255" spans="13:13">
      <x:c r="M255" s="144">
        <x:f>L253+R253</x:f>
        <x:v>58</x:v>
      </x:c>
    </x:row>
  </x:sheetData>
  <x:autoFilter ref="A3:S251">
    <x:filterColumn colId="7" showButton="0"/>
    <x:filterColumn colId="8" showButton="0"/>
    <x:filterColumn colId="9" showButton="0"/>
    <x:filterColumn colId="13" showButton="0"/>
    <x:filterColumn colId="14" showButton="0"/>
    <x:filterColumn colId="15" showButton="0"/>
  </x:autoFilter>
  <x:mergeCells count="14">
    <x:mergeCell ref="A1:S2"/>
    <x:mergeCell ref="A3:A5"/>
    <x:mergeCell ref="B3:B5"/>
    <x:mergeCell ref="C3:C5"/>
    <x:mergeCell ref="D3:D5"/>
    <x:mergeCell ref="E3:E5"/>
    <x:mergeCell ref="F3:F5"/>
    <x:mergeCell ref="G3:G5"/>
    <x:mergeCell ref="H3:K4"/>
    <x:mergeCell ref="L3:L5"/>
    <x:mergeCell ref="M3:M5"/>
    <x:mergeCell ref="N3:Q4"/>
    <x:mergeCell ref="R3:R5"/>
    <x:mergeCell ref="S3:S5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X56"/>
  <x:sheetViews>
    <x:sheetView topLeftCell="A1" zoomScale="110" zoomScaleNormal="75" zoomScaleSheetLayoutView="110" workbookViewId="0">
      <x:pane xSplit="8" ySplit="3" topLeftCell="I46" activePane="bottomRight" state="frozen"/>
      <x:selection pane="bottomRight" activeCell="C69" activeCellId="0" sqref="C69:C69"/>
    </x:sheetView>
  </x:sheetViews>
  <x:sheetFormatPr defaultColWidth="8.88671875" defaultRowHeight="14.19999999999999928946"/>
  <x:cols>
    <x:col min="1" max="1" width="4.34765625" style="98" bestFit="1" customWidth="1"/>
    <x:col min="2" max="2" width="22.890625" style="20" customWidth="1"/>
    <x:col min="3" max="3" width="18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5.91796875" style="20" bestFit="1" customWidth="1"/>
    <x:col min="11" max="11" width="8.29296875" style="20" bestFit="1" customWidth="1"/>
    <x:col min="12" max="13" width="7.8203125" style="20" bestFit="1" customWidth="1"/>
    <x:col min="14" max="14" width="5.91796875" style="20" bestFit="1" customWidth="1"/>
    <x:col min="15" max="15" width="8.29296875" style="20" bestFit="1" customWidth="1"/>
    <x:col min="16" max="16" width="5.91796875" style="20" bestFit="1" customWidth="1"/>
    <x:col min="17" max="17" width="7.40625" style="41" bestFit="1" customWidth="1"/>
    <x:col min="18" max="18" width="8.29296875" style="41" bestFit="1" customWidth="1"/>
    <x:col min="19" max="19" width="7.40625" style="41" bestFit="1" customWidth="1"/>
    <x:col min="20" max="20" width="8.88671875" style="27"/>
    <x:col min="21" max="21" width="43.66796875" style="20" customWidth="1"/>
    <x:col min="23" max="23" width="15.77734375" style="3" customWidth="1"/>
    <x:col min="24" max="24" width="8.88671875" style="2" bestFit="1" customWidth="1"/>
  </x:cols>
  <x:sheetData>
    <x:row r="1" spans="1:21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  <x:c r="U1" s="441"/>
    </x:row>
    <x:row r="2" spans="1:21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  <x:c r="U2" s="441"/>
    </x:row>
    <x:row r="3" spans="1:23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470" t="s">
        <x:v>334</x:v>
      </x:c>
      <x:c r="K3" s="471"/>
      <x:c r="L3" s="472"/>
      <x:c r="M3" s="473"/>
      <x:c r="N3" s="470" t="s">
        <x:v>332</x:v>
      </x:c>
      <x:c r="O3" s="471"/>
      <x:c r="P3" s="473"/>
      <x:c r="Q3" s="467" t="s">
        <x:v>328</x:v>
      </x:c>
      <x:c r="R3" s="468"/>
      <x:c r="S3" s="469"/>
      <x:c r="T3" s="474" t="s">
        <x:v>348</x:v>
      </x:c>
      <x:c r="U3" s="465" t="s">
        <x:v>302</x:v>
      </x:c>
      <x:c r="V3" s="8"/>
      <x:c r="W3" s="3"/>
    </x:row>
    <x:row r="4" spans="1:23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119" t="s">
        <x:v>160</x:v>
      </x:c>
      <x:c r="K4" s="120" t="s">
        <x:v>381</x:v>
      </x:c>
      <x:c r="L4" s="76" t="s">
        <x:v>363</x:v>
      </x:c>
      <x:c r="M4" s="324" t="s">
        <x:v>354</x:v>
      </x:c>
      <x:c r="N4" s="119" t="s">
        <x:v>160</x:v>
      </x:c>
      <x:c r="O4" s="120" t="s">
        <x:v>381</x:v>
      </x:c>
      <x:c r="P4" s="121" t="s">
        <x:v>192</x:v>
      </x:c>
      <x:c r="Q4" s="74" t="s">
        <x:v>160</x:v>
      </x:c>
      <x:c r="R4" s="75" t="s">
        <x:v>381</x:v>
      </x:c>
      <x:c r="S4" s="76" t="s">
        <x:v>192</x:v>
      </x:c>
      <x:c r="T4" s="475"/>
      <x:c r="U4" s="466"/>
      <x:c r="V4" s="8"/>
      <x:c r="W4" s="317" t="s">
        <x:v>291</x:v>
      </x:c>
    </x:row>
    <x:row r="5" spans="1:23" s="44" customFormat="1" customHeight="1">
      <x:c r="A5" s="97">
        <x:v>1</x:v>
      </x:c>
      <x:c r="B5" s="55" t="s">
        <x:v>382</x:v>
      </x:c>
      <x:c r="C5" s="109" t="s">
        <x:v>252</x:v>
      </x:c>
      <x:c r="D5" s="109" t="s">
        <x:v>248</x:v>
      </x:c>
      <x:c r="E5" s="55">
        <x:v>0</x:v>
      </x:c>
      <x:c r="F5" s="109" t="s">
        <x:v>244</x:v>
      </x:c>
      <x:c r="G5" s="55"/>
      <x:c r="H5" s="109" t="s">
        <x:v>272</x:v>
      </x:c>
      <x:c r="I5" s="110" t="s">
        <x:v>337</x:v>
      </x:c>
      <x:c r="J5" s="288" t="s">
        <x:v>225</x:v>
      </x:c>
      <x:c r="K5" s="289" t="s">
        <x:v>225</x:v>
      </x:c>
      <x:c r="L5" s="319" t="s">
        <x:v>225</x:v>
      </x:c>
      <x:c r="M5" s="325" t="str">
        <x:f>LOOKUP(W5,{1,2,3,4,5,6,7,8,9,10,11,12},{"4C","4B","4A","3C","3B","3A","2C","2B","2A","1C","1B","1A"})</x:f>
        <x:v>1A</x:v>
      </x:c>
      <x:c r="N5" s="288" t="s">
        <x:v>225</x:v>
      </x:c>
      <x:c r="O5" s="289" t="s">
        <x:v>225</x:v>
      </x:c>
      <x:c r="P5" s="290" t="s">
        <x:v>225</x:v>
      </x:c>
      <x:c r="Q5" s="291"/>
      <x:c r="R5" s="292"/>
      <x:c r="S5" s="226"/>
      <x:c r="T5" s="35" t="s">
        <x:v>350</x:v>
      </x:c>
      <x:c r="U5" s="123" t="s">
        <x:v>329</x:v>
      </x:c>
      <x:c r="V5" s="43"/>
      <x:c r="W5" s="318">
        <x:f>(LOOKUP(J5,{"1A","1B","1C","2A","2B","2C","3A","3B","3C","4A","4B","4C"},{12,11,10,9,8,7,6,5,4,3,2,1})+LOOKUP(K5,{"1A","1B","1C","2A","2B","2C","3A","3B","3C","4A","4B","4C"},{12,11,10,9,8,7,6,5,4,3,2,1}))/2</x:f>
        <x:v>12</x:v>
      </x:c>
    </x:row>
    <x:row r="6" spans="1:23" customHeight="1">
      <x:c r="A6" s="73">
        <x:v>2</x:v>
      </x:c>
      <x:c r="B6" s="15" t="s">
        <x:v>382</x:v>
      </x:c>
      <x:c r="C6" s="54" t="s">
        <x:v>252</x:v>
      </x:c>
      <x:c r="D6" s="54" t="s">
        <x:v>248</x:v>
      </x:c>
      <x:c r="E6" s="15">
        <x:v>1</x:v>
      </x:c>
      <x:c r="F6" s="54" t="s">
        <x:v>189</x:v>
      </x:c>
      <x:c r="G6" s="16"/>
      <x:c r="H6" s="54" t="s">
        <x:v>272</x:v>
      </x:c>
      <x:c r="I6" s="57" t="s">
        <x:v>337</x:v>
      </x:c>
      <x:c r="J6" s="124" t="s">
        <x:v>225</x:v>
      </x:c>
      <x:c r="K6" s="107" t="s">
        <x:v>225</x:v>
      </x:c>
      <x:c r="L6" s="320" t="s">
        <x:v>225</x:v>
      </x:c>
      <x:c r="M6" s="325" t="str">
        <x:f>LOOKUP(W6,{1,2,3,4,5,6,7,8,9,10,11,12},{"4C","4B","4A","3C","3B","3A","2C","2B","2A","1C","1B","1A"})</x:f>
        <x:v>1A</x:v>
      </x:c>
      <x:c r="N6" s="124" t="s">
        <x:v>225</x:v>
      </x:c>
      <x:c r="O6" s="93" t="s">
        <x:v>225</x:v>
      </x:c>
      <x:c r="P6" s="58" t="s">
        <x:v>225</x:v>
      </x:c>
      <x:c r="Q6" s="46"/>
      <x:c r="R6" s="17"/>
      <x:c r="S6" s="35"/>
      <x:c r="T6" s="40" t="s">
        <x:v>350</x:v>
      </x:c>
      <x:c r="U6" s="91" t="s">
        <x:v>375</x:v>
      </x:c>
      <x:c r="W6" s="318">
        <x:f>(LOOKUP(J6,{"1A","1B","1C","2A","2B","2C","3A","3B","3C","4A","4B","4C"},{12,11,10,9,8,7,6,5,4,3,2,1})+LOOKUP(K6,{"1A","1B","1C","2A","2B","2C","3A","3B","3C","4A","4B","4C"},{12,11,10,9,8,7,6,5,4,3,2,1}))/2</x:f>
        <x:v>12</x:v>
      </x:c>
    </x:row>
    <x:row r="7" spans="1:23" s="37" customFormat="1" customHeight="1">
      <x:c r="A7" s="73">
        <x:v>3</x:v>
      </x:c>
      <x:c r="B7" s="16" t="s">
        <x:v>382</x:v>
      </x:c>
      <x:c r="C7" s="274" t="s">
        <x:v>349</x:v>
      </x:c>
      <x:c r="D7" s="274" t="s">
        <x:v>248</x:v>
      </x:c>
      <x:c r="E7" s="274">
        <x:v>2</x:v>
      </x:c>
      <x:c r="F7" s="61" t="s">
        <x:v>75</x:v>
      </x:c>
      <x:c r="G7" s="61"/>
      <x:c r="H7" s="274" t="s">
        <x:v>272</x:v>
      </x:c>
      <x:c r="I7" s="58" t="s">
        <x:v>320</x:v>
      </x:c>
      <x:c r="J7" s="275" t="s">
        <x:v>225</x:v>
      </x:c>
      <x:c r="K7" s="276" t="s">
        <x:v>225</x:v>
      </x:c>
      <x:c r="L7" s="320" t="s">
        <x:v>225</x:v>
      </x:c>
      <x:c r="M7" s="325" t="str">
        <x:f>LOOKUP(W7,{1,2,3,4,5,6,7,8,9,10,11,12},{"4C","4B","4A","3C","3B","3A","2C","2B","2A","1C","1B","1A"})</x:f>
        <x:v>1A</x:v>
      </x:c>
      <x:c r="N7" s="92" t="s">
        <x:v>225</x:v>
      </x:c>
      <x:c r="O7" s="93" t="s">
        <x:v>225</x:v>
      </x:c>
      <x:c r="P7" s="58" t="s">
        <x:v>225</x:v>
      </x:c>
      <x:c r="Q7" s="28"/>
      <x:c r="R7" s="17"/>
      <x:c r="S7" s="35"/>
      <x:c r="T7" s="42"/>
      <x:c r="U7" s="277" t="s">
        <x:v>303</x:v>
      </x:c>
      <x:c r="W7" s="318">
        <x:f>(LOOKUP(J7,{"1A","1B","1C","2A","2B","2C","3A","3B","3C","4A","4B","4C"},{12,11,10,9,8,7,6,5,4,3,2,1})+LOOKUP(K7,{"1A","1B","1C","2A","2B","2C","3A","3B","3C","4A","4B","4C"},{12,11,10,9,8,7,6,5,4,3,2,1}))/2</x:f>
        <x:v>12</x:v>
      </x:c>
    </x:row>
    <x:row r="8" spans="1:23" customHeight="1">
      <x:c r="A8" s="73">
        <x:v>4</x:v>
      </x:c>
      <x:c r="B8" s="56" t="s">
        <x:v>382</x:v>
      </x:c>
      <x:c r="C8" s="109" t="s">
        <x:v>252</x:v>
      </x:c>
      <x:c r="D8" s="109" t="s">
        <x:v>377</x:v>
      </x:c>
      <x:c r="E8" s="56">
        <x:v>2</x:v>
      </x:c>
      <x:c r="F8" s="109" t="s">
        <x:v>34</x:v>
      </x:c>
      <x:c r="G8" s="56"/>
      <x:c r="H8" s="109" t="s">
        <x:v>272</x:v>
      </x:c>
      <x:c r="I8" s="206" t="s">
        <x:v>320</x:v>
      </x:c>
      <x:c r="J8" s="204" t="s">
        <x:v>223</x:v>
      </x:c>
      <x:c r="K8" s="205" t="s">
        <x:v>225</x:v>
      </x:c>
      <x:c r="L8" s="320" t="s">
        <x:v>225</x:v>
      </x:c>
      <x:c r="M8" s="325" t="str">
        <x:f>LOOKUP(W8,{1,2,3,4,5,6,7,8,9,10,11,12},{"4C","4B","4A","3C","3B","3A","2C","2B","2A","1C","1B","1A"})</x:f>
        <x:v>1C</x:v>
      </x:c>
      <x:c r="N8" s="204" t="s">
        <x:v>223</x:v>
      </x:c>
      <x:c r="O8" s="205" t="s">
        <x:v>225</x:v>
      </x:c>
      <x:c r="P8" s="206" t="s">
        <x:v>225</x:v>
      </x:c>
      <x:c r="Q8" s="34"/>
      <x:c r="R8" s="21"/>
      <x:c r="S8" s="35"/>
      <x:c r="T8" s="80"/>
      <x:c r="U8" s="111" t="s">
        <x:v>304</x:v>
      </x:c>
      <x:c r="W8" s="318">
        <x:f>(LOOKUP(J8,{"1A","1B","1C","2A","2B","2C","3A","3B","3C","4A","4B","4C"},{12,11,10,9,8,7,6,5,4,3,2,1})+LOOKUP(K8,{"1A","1B","1C","2A","2B","2C","3A","3B","3C","4A","4B","4C"},{12,11,10,9,8,7,6,5,4,3,2,1}))/2</x:f>
        <x:v>10</x:v>
      </x:c>
    </x:row>
    <x:row r="9" spans="1:23" customHeight="1">
      <x:c r="A9" s="73">
        <x:v>5</x:v>
      </x:c>
      <x:c r="B9" s="56" t="s">
        <x:v>382</x:v>
      </x:c>
      <x:c r="C9" s="56" t="s">
        <x:v>349</x:v>
      </x:c>
      <x:c r="D9" s="56" t="s">
        <x:v>168</x:v>
      </x:c>
      <x:c r="E9" s="56">
        <x:v>2</x:v>
      </x:c>
      <x:c r="F9" s="56" t="s">
        <x:v>145</x:v>
      </x:c>
      <x:c r="G9" s="56"/>
      <x:c r="H9" s="56" t="s">
        <x:v>267</x:v>
      </x:c>
      <x:c r="I9" s="273" t="s">
        <x:v>327</x:v>
      </x:c>
      <x:c r="J9" s="34" t="s">
        <x:v>175</x:v>
      </x:c>
      <x:c r="K9" s="21" t="s">
        <x:v>188</x:v>
      </x:c>
      <x:c r="L9" s="240" t="s">
        <x:v>175</x:v>
      </x:c>
      <x:c r="M9" s="326" t="str">
        <x:f>LOOKUP(W9,{1,2,3,4,5,6,7,8,9,10,11,12},{"4C","4B","4A","3C","3B","3A","2C","2B","2A","1C","1B","1A"})</x:f>
        <x:v>3A</x:v>
      </x:c>
      <x:c r="N9" s="34" t="s">
        <x:v>175</x:v>
      </x:c>
      <x:c r="O9" s="21" t="s">
        <x:v>188</x:v>
      </x:c>
      <x:c r="P9" s="83" t="s">
        <x:v>175</x:v>
      </x:c>
      <x:c r="Q9" s="34"/>
      <x:c r="R9" s="21"/>
      <x:c r="S9" s="35"/>
      <x:c r="T9" s="80"/>
      <x:c r="U9" s="111" t="s">
        <x:v>309</x:v>
      </x:c>
      <x:c r="W9" s="318">
        <x:f>(LOOKUP(J9,{"1A","1B","1C","2A","2B","2C","3A","3B","3C","4A","4B","4C"},{12,11,10,9,8,7,6,5,4,3,2,1})+LOOKUP(K9,{"1A","1B","1C","2A","2B","2C","3A","3B","3C","4A","4B","4C"},{12,11,10,9,8,7,6,5,4,3,2,1}))/2</x:f>
        <x:v>6</x:v>
      </x:c>
    </x:row>
    <x:row r="10" spans="1:23" customHeight="1">
      <x:c r="A10" s="73">
        <x:v>6</x:v>
      </x:c>
      <x:c r="B10" s="56" t="s">
        <x:v>382</x:v>
      </x:c>
      <x:c r="C10" s="56" t="s">
        <x:v>349</x:v>
      </x:c>
      <x:c r="D10" s="56" t="s">
        <x:v>248</x:v>
      </x:c>
      <x:c r="E10" s="56">
        <x:v>2</x:v>
      </x:c>
      <x:c r="F10" s="56" t="s">
        <x:v>88</x:v>
      </x:c>
      <x:c r="G10" s="56"/>
      <x:c r="H10" s="56" t="s">
        <x:v>267</x:v>
      </x:c>
      <x:c r="I10" s="273" t="s">
        <x:v>325</x:v>
      </x:c>
      <x:c r="J10" s="34" t="s">
        <x:v>225</x:v>
      </x:c>
      <x:c r="K10" s="21" t="s">
        <x:v>225</x:v>
      </x:c>
      <x:c r="L10" s="240" t="s">
        <x:v>225</x:v>
      </x:c>
      <x:c r="M10" s="326" t="str">
        <x:f>LOOKUP(W10,{1,2,3,4,5,6,7,8,9,10,11,12},{"4C","4B","4A","3C","3B","3A","2C","2B","2A","1C","1B","1A"})</x:f>
        <x:v>1A</x:v>
      </x:c>
      <x:c r="N10" s="34" t="s">
        <x:v>225</x:v>
      </x:c>
      <x:c r="O10" s="21" t="s">
        <x:v>225</x:v>
      </x:c>
      <x:c r="P10" s="83" t="s">
        <x:v>225</x:v>
      </x:c>
      <x:c r="Q10" s="34"/>
      <x:c r="R10" s="21"/>
      <x:c r="S10" s="35"/>
      <x:c r="T10" s="80"/>
      <x:c r="U10" s="309" t="s">
        <x:v>0</x:v>
      </x:c>
      <x:c r="W10" s="318">
        <x:f>(LOOKUP(J10,{"1A","1B","1C","2A","2B","2C","3A","3B","3C","4A","4B","4C"},{12,11,10,9,8,7,6,5,4,3,2,1})+LOOKUP(K10,{"1A","1B","1C","2A","2B","2C","3A","3B","3C","4A","4B","4C"},{12,11,10,9,8,7,6,5,4,3,2,1}))/2</x:f>
        <x:v>12</x:v>
      </x:c>
    </x:row>
    <x:row r="11" spans="1:23" customHeight="1">
      <x:c r="A11" s="73">
        <x:v>7</x:v>
      </x:c>
      <x:c r="B11" s="15" t="s">
        <x:v>382</x:v>
      </x:c>
      <x:c r="C11" s="15" t="s">
        <x:v>285</x:v>
      </x:c>
      <x:c r="D11" s="15" t="s">
        <x:v>168</x:v>
      </x:c>
      <x:c r="E11" s="15">
        <x:v>2</x:v>
      </x:c>
      <x:c r="F11" s="16" t="s">
        <x:v>106</x:v>
      </x:c>
      <x:c r="G11" s="15"/>
      <x:c r="H11" s="15" t="s">
        <x:v>267</x:v>
      </x:c>
      <x:c r="I11" s="45" t="s">
        <x:v>327</x:v>
      </x:c>
      <x:c r="J11" s="28" t="s">
        <x:v>225</x:v>
      </x:c>
      <x:c r="K11" s="17" t="s">
        <x:v>175</x:v>
      </x:c>
      <x:c r="L11" s="240" t="s">
        <x:v>225</x:v>
      </x:c>
      <x:c r="M11" s="326" t="str">
        <x:f>LOOKUP(W11,{1,2,3,4,5,6,7,8,9,10,11,12},{"4C","4B","4A","3C","3B","3A","2C","2B","2A","1C","1B","1A"})</x:f>
        <x:v>2A</x:v>
      </x:c>
      <x:c r="N11" s="28" t="s">
        <x:v>225</x:v>
      </x:c>
      <x:c r="O11" s="17" t="s">
        <x:v>175</x:v>
      </x:c>
      <x:c r="P11" s="66" t="s">
        <x:v>225</x:v>
      </x:c>
      <x:c r="Q11" s="28"/>
      <x:c r="R11" s="17" t="s">
        <x:v>158</x:v>
      </x:c>
      <x:c r="S11" s="35"/>
      <x:c r="T11" s="42"/>
      <x:c r="U11" s="23"/>
      <x:c r="W11" s="318">
        <x:f>(LOOKUP(J11,{"1A","1B","1C","2A","2B","2C","3A","3B","3C","4A","4B","4C"},{12,11,10,9,8,7,6,5,4,3,2,1})+LOOKUP(K11,{"1A","1B","1C","2A","2B","2C","3A","3B","3C","4A","4B","4C"},{12,11,10,9,8,7,6,5,4,3,2,1}))/2</x:f>
        <x:v>9.5</x:v>
      </x:c>
    </x:row>
    <x:row r="12" spans="1:23" customHeight="1">
      <x:c r="A12" s="73">
        <x:v>8</x:v>
      </x:c>
      <x:c r="B12" s="15" t="s">
        <x:v>382</x:v>
      </x:c>
      <x:c r="C12" s="15" t="s">
        <x:v>349</x:v>
      </x:c>
      <x:c r="D12" s="15" t="s">
        <x:v>168</x:v>
      </x:c>
      <x:c r="E12" s="15">
        <x:v>2</x:v>
      </x:c>
      <x:c r="F12" s="16" t="s">
        <x:v>156</x:v>
      </x:c>
      <x:c r="G12" s="15"/>
      <x:c r="H12" s="15" t="s">
        <x:v>267</x:v>
      </x:c>
      <x:c r="I12" s="29" t="s">
        <x:v>325</x:v>
      </x:c>
      <x:c r="J12" s="28" t="s">
        <x:v>238</x:v>
      </x:c>
      <x:c r="K12" s="17" t="s">
        <x:v>215</x:v>
      </x:c>
      <x:c r="L12" s="240" t="s">
        <x:v>215</x:v>
      </x:c>
      <x:c r="M12" s="326" t="str">
        <x:f>LOOKUP(W12,{1,2,3,4,5,6,7,8,9,10,11,12},{"4C","4B","4A","3C","3B","3A","2C","2B","2A","1C","1B","1A"})</x:f>
        <x:v>3B</x:v>
      </x:c>
      <x:c r="N12" s="28" t="s">
        <x:v>238</x:v>
      </x:c>
      <x:c r="O12" s="17" t="s">
        <x:v>215</x:v>
      </x:c>
      <x:c r="P12" s="66" t="s">
        <x:v>215</x:v>
      </x:c>
      <x:c r="Q12" s="28"/>
      <x:c r="R12" s="17" t="s">
        <x:v>225</x:v>
      </x:c>
      <x:c r="S12" s="35"/>
      <x:c r="T12" s="42"/>
      <x:c r="U12" s="23"/>
      <x:c r="W12" s="318">
        <x:f>(LOOKUP(J12,{"1A","1B","1C","2A","2B","2C","3A","3B","3C","4A","4B","4C"},{12,11,10,9,8,7,6,5,4,3,2,1})+LOOKUP(K12,{"1A","1B","1C","2A","2B","2C","3A","3B","3C","4A","4B","4C"},{12,11,10,9,8,7,6,5,4,3,2,1}))/2</x:f>
        <x:v>5.5</x:v>
      </x:c>
    </x:row>
    <x:row r="13" spans="1:23" customHeight="1">
      <x:c r="A13" s="73">
        <x:v>9</x:v>
      </x:c>
      <x:c r="B13" s="15" t="s">
        <x:v>382</x:v>
      </x:c>
      <x:c r="C13" s="15" t="s">
        <x:v>349</x:v>
      </x:c>
      <x:c r="D13" s="15" t="s">
        <x:v>168</x:v>
      </x:c>
      <x:c r="E13" s="15">
        <x:v>2</x:v>
      </x:c>
      <x:c r="F13" s="16" t="s">
        <x:v>82</x:v>
      </x:c>
      <x:c r="G13" s="15"/>
      <x:c r="H13" s="15" t="s">
        <x:v>267</x:v>
      </x:c>
      <x:c r="I13" s="29" t="s">
        <x:v>325</x:v>
      </x:c>
      <x:c r="J13" s="28" t="s">
        <x:v>188</x:v>
      </x:c>
      <x:c r="K13" s="17" t="s">
        <x:v>225</x:v>
      </x:c>
      <x:c r="L13" s="240" t="s">
        <x:v>225</x:v>
      </x:c>
      <x:c r="M13" s="326" t="str">
        <x:f>LOOKUP(W13,{1,2,3,4,5,6,7,8,9,10,11,12},{"4C","4B","4A","3C","3B","3A","2C","2B","2A","1C","1B","1A"})</x:f>
        <x:v>2B</x:v>
      </x:c>
      <x:c r="N13" s="28" t="s">
        <x:v>188</x:v>
      </x:c>
      <x:c r="O13" s="17" t="s">
        <x:v>225</x:v>
      </x:c>
      <x:c r="P13" s="66" t="s">
        <x:v>225</x:v>
      </x:c>
      <x:c r="Q13" s="28" t="s">
        <x:v>158</x:v>
      </x:c>
      <x:c r="R13" s="17"/>
      <x:c r="S13" s="35"/>
      <x:c r="T13" s="42"/>
      <x:c r="U13" s="23"/>
      <x:c r="W13" s="318">
        <x:f>(LOOKUP(J13,{"1A","1B","1C","2A","2B","2C","3A","3B","3C","4A","4B","4C"},{12,11,10,9,8,7,6,5,4,3,2,1})+LOOKUP(K13,{"1A","1B","1C","2A","2B","2C","3A","3B","3C","4A","4B","4C"},{12,11,10,9,8,7,6,5,4,3,2,1}))/2</x:f>
        <x:v>8.5</x:v>
      </x:c>
    </x:row>
    <x:row r="14" spans="1:23" customHeight="1">
      <x:c r="A14" s="73">
        <x:v>10</x:v>
      </x:c>
      <x:c r="B14" s="15" t="s">
        <x:v>382</x:v>
      </x:c>
      <x:c r="C14" s="15" t="s">
        <x:v>285</x:v>
      </x:c>
      <x:c r="D14" s="15" t="s">
        <x:v>168</x:v>
      </x:c>
      <x:c r="E14" s="15">
        <x:v>2</x:v>
      </x:c>
      <x:c r="F14" s="16" t="s">
        <x:v>97</x:v>
      </x:c>
      <x:c r="G14" s="15"/>
      <x:c r="H14" s="15" t="s">
        <x:v>267</x:v>
      </x:c>
      <x:c r="I14" s="29" t="s">
        <x:v>327</x:v>
      </x:c>
      <x:c r="J14" s="28" t="s">
        <x:v>225</x:v>
      </x:c>
      <x:c r="K14" s="17" t="s">
        <x:v>191</x:v>
      </x:c>
      <x:c r="L14" s="240" t="s">
        <x:v>225</x:v>
      </x:c>
      <x:c r="M14" s="326" t="str">
        <x:f>LOOKUP(W14,{1,2,3,4,5,6,7,8,9,10,11,12},{"4C","4B","4A","3C","3B","3A","2C","2B","2A","1C","1B","1A"})</x:f>
        <x:v>2B</x:v>
      </x:c>
      <x:c r="N14" s="28" t="s">
        <x:v>225</x:v>
      </x:c>
      <x:c r="O14" s="17" t="s">
        <x:v>191</x:v>
      </x:c>
      <x:c r="P14" s="66" t="s">
        <x:v>225</x:v>
      </x:c>
      <x:c r="Q14" s="28"/>
      <x:c r="R14" s="17" t="s">
        <x:v>36</x:v>
      </x:c>
      <x:c r="S14" s="35"/>
      <x:c r="T14" s="42"/>
      <x:c r="U14" s="23"/>
      <x:c r="W14" s="318">
        <x:f>(LOOKUP(J14,{"1A","1B","1C","2A","2B","2C","3A","3B","3C","4A","4B","4C"},{12,11,10,9,8,7,6,5,4,3,2,1})+LOOKUP(K14,{"1A","1B","1C","2A","2B","2C","3A","3B","3C","4A","4B","4C"},{12,11,10,9,8,7,6,5,4,3,2,1}))/2</x:f>
        <x:v>8</x:v>
      </x:c>
    </x:row>
    <x:row r="15" spans="1:23" customHeight="1">
      <x:c r="A15" s="73">
        <x:v>11</x:v>
      </x:c>
      <x:c r="B15" s="15" t="s">
        <x:v>382</x:v>
      </x:c>
      <x:c r="C15" s="15" t="s">
        <x:v>349</x:v>
      </x:c>
      <x:c r="D15" s="15" t="s">
        <x:v>168</x:v>
      </x:c>
      <x:c r="E15" s="15">
        <x:v>2</x:v>
      </x:c>
      <x:c r="F15" s="16" t="s">
        <x:v>113</x:v>
      </x:c>
      <x:c r="G15" s="15"/>
      <x:c r="H15" s="15" t="s">
        <x:v>267</x:v>
      </x:c>
      <x:c r="I15" s="29" t="s">
        <x:v>325</x:v>
      </x:c>
      <x:c r="J15" s="28" t="s">
        <x:v>215</x:v>
      </x:c>
      <x:c r="K15" s="17" t="s">
        <x:v>225</x:v>
      </x:c>
      <x:c r="L15" s="240" t="s">
        <x:v>225</x:v>
      </x:c>
      <x:c r="M15" s="326" t="str">
        <x:f>LOOKUP(W15,{1,2,3,4,5,6,7,8,9,10,11,12},{"4C","4B","4A","3C","3B","3A","2C","2B","2A","1C","1B","1A"})</x:f>
        <x:v>1B</x:v>
      </x:c>
      <x:c r="N15" s="28" t="s">
        <x:v>215</x:v>
      </x:c>
      <x:c r="O15" s="17" t="s">
        <x:v>225</x:v>
      </x:c>
      <x:c r="P15" s="66" t="s">
        <x:v>225</x:v>
      </x:c>
      <x:c r="Q15" s="28" t="s">
        <x:v>225</x:v>
      </x:c>
      <x:c r="R15" s="17"/>
      <x:c r="S15" s="35"/>
      <x:c r="T15" s="42"/>
      <x:c r="U15" s="100"/>
      <x:c r="W15" s="318">
        <x:f>(LOOKUP(J15,{"1A","1B","1C","2A","2B","2C","3A","3B","3C","4A","4B","4C"},{12,11,10,9,8,7,6,5,4,3,2,1})+LOOKUP(K15,{"1A","1B","1C","2A","2B","2C","3A","3B","3C","4A","4B","4C"},{12,11,10,9,8,7,6,5,4,3,2,1}))/2</x:f>
        <x:v>11</x:v>
      </x:c>
    </x:row>
    <x:row r="16" spans="1:23" s="37" customFormat="1" customHeight="1">
      <x:c r="A16" s="73">
        <x:v>12</x:v>
      </x:c>
      <x:c r="B16" s="16" t="s">
        <x:v>382</x:v>
      </x:c>
      <x:c r="C16" s="16" t="s">
        <x:v>285</x:v>
      </x:c>
      <x:c r="D16" s="16" t="s">
        <x:v>168</x:v>
      </x:c>
      <x:c r="E16" s="16">
        <x:v>2</x:v>
      </x:c>
      <x:c r="F16" s="16" t="s">
        <x:v>185</x:v>
      </x:c>
      <x:c r="G16" s="16"/>
      <x:c r="H16" s="16" t="s">
        <x:v>267</x:v>
      </x:c>
      <x:c r="I16" s="29" t="s">
        <x:v>327</x:v>
      </x:c>
      <x:c r="J16" s="28" t="s">
        <x:v>225</x:v>
      </x:c>
      <x:c r="K16" s="17" t="s">
        <x:v>158</x:v>
      </x:c>
      <x:c r="L16" s="240" t="s">
        <x:v>225</x:v>
      </x:c>
      <x:c r="M16" s="326" t="str">
        <x:f>LOOKUP(W16,{1,2,3,4,5,6,7,8,9,10,11,12},{"4C","4B","4A","3C","3B","3A","2C","2B","2A","1C","1B","1A"})</x:f>
        <x:v>1C</x:v>
      </x:c>
      <x:c r="N16" s="28" t="s">
        <x:v>225</x:v>
      </x:c>
      <x:c r="O16" s="17" t="s">
        <x:v>158</x:v>
      </x:c>
      <x:c r="P16" s="66" t="s">
        <x:v>225</x:v>
      </x:c>
      <x:c r="Q16" s="28"/>
      <x:c r="R16" s="17" t="s">
        <x:v>162</x:v>
      </x:c>
      <x:c r="S16" s="35"/>
      <x:c r="T16" s="42"/>
      <x:c r="U16" s="101"/>
      <x:c r="W16" s="318">
        <x:f>(LOOKUP(J16,{"1A","1B","1C","2A","2B","2C","3A","3B","3C","4A","4B","4C"},{12,11,10,9,8,7,6,5,4,3,2,1})+LOOKUP(K16,{"1A","1B","1C","2A","2B","2C","3A","3B","3C","4A","4B","4C"},{12,11,10,9,8,7,6,5,4,3,2,1}))/2</x:f>
        <x:v>10.5</x:v>
      </x:c>
    </x:row>
    <x:row r="17" spans="1:23" customHeight="1">
      <x:c r="A17" s="73">
        <x:v>13</x:v>
      </x:c>
      <x:c r="B17" s="15" t="s">
        <x:v>382</x:v>
      </x:c>
      <x:c r="C17" s="16" t="s">
        <x:v>359</x:v>
      </x:c>
      <x:c r="D17" s="16" t="s">
        <x:v>168</x:v>
      </x:c>
      <x:c r="E17" s="15">
        <x:v>2</x:v>
      </x:c>
      <x:c r="F17" s="16" t="s">
        <x:v>150</x:v>
      </x:c>
      <x:c r="G17" s="15"/>
      <x:c r="H17" s="16" t="s">
        <x:v>267</x:v>
      </x:c>
      <x:c r="I17" s="29" t="s">
        <x:v>341</x:v>
      </x:c>
      <x:c r="J17" s="28" t="s">
        <x:v>238</x:v>
      </x:c>
      <x:c r="K17" s="17" t="s">
        <x:v>158</x:v>
      </x:c>
      <x:c r="L17" s="240" t="s">
        <x:v>158</x:v>
      </x:c>
      <x:c r="M17" s="326" t="str">
        <x:f>LOOKUP(W17,{1,2,3,4,5,6,7,8,9,10,11,12},{"4C","4B","4A","3C","3B","3A","2C","2B","2A","1C","1B","1A"})</x:f>
        <x:v>3B</x:v>
      </x:c>
      <x:c r="N17" s="28" t="s">
        <x:v>238</x:v>
      </x:c>
      <x:c r="O17" s="17" t="s">
        <x:v>158</x:v>
      </x:c>
      <x:c r="P17" s="66" t="s">
        <x:v>158</x:v>
      </x:c>
      <x:c r="Q17" s="28"/>
      <x:c r="R17" s="17" t="s">
        <x:v>225</x:v>
      </x:c>
      <x:c r="S17" s="35"/>
      <x:c r="T17" s="42"/>
      <x:c r="U17" s="23"/>
      <x:c r="W17" s="318">
        <x:f>(LOOKUP(J17,{"1A","1B","1C","2A","2B","2C","3A","3B","3C","4A","4B","4C"},{12,11,10,9,8,7,6,5,4,3,2,1})+LOOKUP(K17,{"1A","1B","1C","2A","2B","2C","3A","3B","3C","4A","4B","4C"},{12,11,10,9,8,7,6,5,4,3,2,1}))/2</x:f>
        <x:v>5</x:v>
      </x:c>
    </x:row>
    <x:row r="18" spans="1:23" s="71" customFormat="1" customHeight="1">
      <x:c r="A18" s="73">
        <x:v>14</x:v>
      </x:c>
      <x:c r="B18" s="16" t="s">
        <x:v>382</x:v>
      </x:c>
      <x:c r="C18" s="16" t="s">
        <x:v>285</x:v>
      </x:c>
      <x:c r="D18" s="16" t="s">
        <x:v>273</x:v>
      </x:c>
      <x:c r="E18" s="16">
        <x:v>3</x:v>
      </x:c>
      <x:c r="F18" s="16" t="s">
        <x:v>161</x:v>
      </x:c>
      <x:c r="G18" s="16"/>
      <x:c r="H18" s="16" t="s">
        <x:v>267</x:v>
      </x:c>
      <x:c r="I18" s="29" t="s">
        <x:v>327</x:v>
      </x:c>
      <x:c r="J18" s="28" t="s">
        <x:v>225</x:v>
      </x:c>
      <x:c r="K18" s="17" t="s">
        <x:v>238</x:v>
      </x:c>
      <x:c r="L18" s="240" t="s">
        <x:v>225</x:v>
      </x:c>
      <x:c r="M18" s="326" t="str">
        <x:f>LOOKUP(W18,{1,2,3,4,5,6,7,8,9,10,11,12},{"4C","4B","4A","3C","3B","3A","2C","2B","2A","1C","1B","1A"})</x:f>
        <x:v>3A</x:v>
      </x:c>
      <x:c r="N18" s="28" t="s">
        <x:v>225</x:v>
      </x:c>
      <x:c r="O18" s="17" t="s">
        <x:v>238</x:v>
      </x:c>
      <x:c r="P18" s="66" t="s">
        <x:v>225</x:v>
      </x:c>
      <x:c r="Q18" s="28"/>
      <x:c r="R18" s="17" t="s">
        <x:v>230</x:v>
      </x:c>
      <x:c r="S18" s="35"/>
      <x:c r="T18" s="42"/>
      <x:c r="U18" s="36"/>
      <x:c r="V18" s="37"/>
      <x:c r="W18" s="318">
        <x:f>(LOOKUP(J18,{"1A","1B","1C","2A","2B","2C","3A","3B","3C","4A","4B","4C"},{12,11,10,9,8,7,6,5,4,3,2,1})+LOOKUP(K18,{"1A","1B","1C","2A","2B","2C","3A","3B","3C","4A","4B","4C"},{12,11,10,9,8,7,6,5,4,3,2,1}))/2</x:f>
        <x:v>6.5</x:v>
      </x:c>
    </x:row>
    <x:row r="19" spans="1:23" customHeight="1">
      <x:c r="A19" s="73">
        <x:v>15</x:v>
      </x:c>
      <x:c r="B19" s="16" t="s">
        <x:v>382</x:v>
      </x:c>
      <x:c r="C19" s="15" t="s">
        <x:v>285</x:v>
      </x:c>
      <x:c r="D19" s="15" t="s">
        <x:v>273</x:v>
      </x:c>
      <x:c r="E19" s="16">
        <x:v>3</x:v>
      </x:c>
      <x:c r="F19" s="16" t="s">
        <x:v>154</x:v>
      </x:c>
      <x:c r="G19" s="15"/>
      <x:c r="H19" s="15" t="s">
        <x:v>267</x:v>
      </x:c>
      <x:c r="I19" s="29" t="s">
        <x:v>327</x:v>
      </x:c>
      <x:c r="J19" s="28" t="s">
        <x:v>162</x:v>
      </x:c>
      <x:c r="K19" s="17" t="s">
        <x:v>238</x:v>
      </x:c>
      <x:c r="L19" s="240" t="s">
        <x:v>162</x:v>
      </x:c>
      <x:c r="M19" s="326" t="str">
        <x:f>LOOKUP(W19,{1,2,3,4,5,6,7,8,9,10,11,12},{"4C","4B","4A","3C","3B","3A","2C","2B","2A","1C","1B","1A"})</x:f>
        <x:v>3A</x:v>
      </x:c>
      <x:c r="N19" s="28" t="s">
        <x:v>162</x:v>
      </x:c>
      <x:c r="O19" s="17" t="s">
        <x:v>238</x:v>
      </x:c>
      <x:c r="P19" s="66" t="s">
        <x:v>162</x:v>
      </x:c>
      <x:c r="Q19" s="28" t="s">
        <x:v>225</x:v>
      </x:c>
      <x:c r="R19" s="17" t="s">
        <x:v>238</x:v>
      </x:c>
      <x:c r="S19" s="21"/>
      <x:c r="T19" s="42"/>
      <x:c r="U19" s="140"/>
      <x:c r="W19" s="318">
        <x:f>(LOOKUP(J19,{"1A","1B","1C","2A","2B","2C","3A","3B","3C","4A","4B","4C"},{12,11,10,9,8,7,6,5,4,3,2,1})+LOOKUP(K19,{"1A","1B","1C","2A","2B","2C","3A","3B","3C","4A","4B","4C"},{12,11,10,9,8,7,6,5,4,3,2,1}))/2</x:f>
        <x:v>6</x:v>
      </x:c>
    </x:row>
    <x:row r="20" spans="1:23" customHeight="1">
      <x:c r="A20" s="73">
        <x:v>16</x:v>
      </x:c>
      <x:c r="B20" s="16" t="s">
        <x:v>382</x:v>
      </x:c>
      <x:c r="C20" s="16" t="s">
        <x:v>349</x:v>
      </x:c>
      <x:c r="D20" s="16" t="s">
        <x:v>273</x:v>
      </x:c>
      <x:c r="E20" s="16">
        <x:v>3</x:v>
      </x:c>
      <x:c r="F20" s="16" t="s">
        <x:v>139</x:v>
      </x:c>
      <x:c r="G20" s="16"/>
      <x:c r="H20" s="16" t="s">
        <x:v>267</x:v>
      </x:c>
      <x:c r="I20" s="29" t="s">
        <x:v>325</x:v>
      </x:c>
      <x:c r="J20" s="28" t="s">
        <x:v>201</x:v>
      </x:c>
      <x:c r="K20" s="17" t="s">
        <x:v>188</x:v>
      </x:c>
      <x:c r="L20" s="240" t="s">
        <x:v>188</x:v>
      </x:c>
      <x:c r="M20" s="326" t="str">
        <x:f>LOOKUP(W20,{1,2,3,4,5,6,7,8,9,10,11,12},{"4C","4B","4A","3C","3B","3A","2C","2B","2A","1C","1B","1A"})</x:f>
        <x:v>4A</x:v>
      </x:c>
      <x:c r="N20" s="28" t="s">
        <x:v>201</x:v>
      </x:c>
      <x:c r="O20" s="363" t="s">
        <x:v>223</x:v>
      </x:c>
      <x:c r="P20" s="339" t="s">
        <x:v>158</x:v>
      </x:c>
      <x:c r="Q20" s="28"/>
      <x:c r="R20" s="17" t="s">
        <x:v>215</x:v>
      </x:c>
      <x:c r="S20" s="35"/>
      <x:c r="T20" s="42"/>
      <x:c r="U20" s="23"/>
      <x:c r="W20" s="318">
        <x:f>(LOOKUP(J20,{"1A","1B","1C","2A","2B","2C","3A","3B","3C","4A","4B","4C"},{12,11,10,9,8,7,6,5,4,3,2,1})+LOOKUP(K20,{"1A","1B","1C","2A","2B","2C","3A","3B","3C","4A","4B","4C"},{12,11,10,9,8,7,6,5,4,3,2,1}))/2</x:f>
        <x:v>3.5</x:v>
      </x:c>
    </x:row>
    <x:row r="21" spans="1:23" customHeight="1">
      <x:c r="A21" s="73">
        <x:v>17</x:v>
      </x:c>
      <x:c r="B21" s="15" t="s">
        <x:v>382</x:v>
      </x:c>
      <x:c r="C21" s="15" t="s">
        <x:v>285</x:v>
      </x:c>
      <x:c r="D21" s="15" t="s">
        <x:v>273</x:v>
      </x:c>
      <x:c r="E21" s="15">
        <x:v>3</x:v>
      </x:c>
      <x:c r="F21" s="16" t="s">
        <x:v>193</x:v>
      </x:c>
      <x:c r="G21" s="15"/>
      <x:c r="H21" s="15" t="s">
        <x:v>267</x:v>
      </x:c>
      <x:c r="I21" s="29" t="s">
        <x:v>325</x:v>
      </x:c>
      <x:c r="J21" s="28" t="s">
        <x:v>175</x:v>
      </x:c>
      <x:c r="K21" s="17" t="s">
        <x:v>238</x:v>
      </x:c>
      <x:c r="L21" s="240" t="s">
        <x:v>175</x:v>
      </x:c>
      <x:c r="M21" s="326" t="str">
        <x:f>LOOKUP(W21,{1,2,3,4,5,6,7,8,9,10,11,12},{"4C","4B","4A","3C","3B","3A","2C","2B","2A","1C","1B","1A"})</x:f>
        <x:v>3C</x:v>
      </x:c>
      <x:c r="N21" s="28" t="s">
        <x:v>175</x:v>
      </x:c>
      <x:c r="O21" s="17" t="s">
        <x:v>238</x:v>
      </x:c>
      <x:c r="P21" s="66" t="s">
        <x:v>175</x:v>
      </x:c>
      <x:c r="Q21" s="28" t="s">
        <x:v>215</x:v>
      </x:c>
      <x:c r="R21" s="17" t="s">
        <x:v>238</x:v>
      </x:c>
      <x:c r="S21" s="35"/>
      <x:c r="T21" s="42"/>
      <x:c r="U21" s="23"/>
      <x:c r="W21" s="318">
        <x:f>(LOOKUP(J21,{"1A","1B","1C","2A","2B","2C","3A","3B","3C","4A","4B","4C"},{12,11,10,9,8,7,6,5,4,3,2,1})+LOOKUP(K21,{"1A","1B","1C","2A","2B","2C","3A","3B","3C","4A","4B","4C"},{12,11,10,9,8,7,6,5,4,3,2,1}))/2</x:f>
        <x:v>4</x:v>
      </x:c>
    </x:row>
    <x:row r="22" spans="1:23" s="6" customFormat="1" customHeight="1">
      <x:c r="A22" s="73">
        <x:v>18</x:v>
      </x:c>
      <x:c r="B22" s="86" t="s">
        <x:v>382</x:v>
      </x:c>
      <x:c r="C22" s="86" t="s">
        <x:v>349</x:v>
      </x:c>
      <x:c r="D22" s="86" t="s">
        <x:v>273</x:v>
      </x:c>
      <x:c r="E22" s="86"/>
      <x:c r="F22" s="86" t="s">
        <x:v>103</x:v>
      </x:c>
      <x:c r="G22" s="86"/>
      <x:c r="H22" s="86" t="s">
        <x:v>267</x:v>
      </x:c>
      <x:c r="I22" s="90" t="s">
        <x:v>325</x:v>
      </x:c>
      <x:c r="J22" s="88" t="s">
        <x:v>230</x:v>
      </x:c>
      <x:c r="K22" s="89" t="s">
        <x:v>158</x:v>
      </x:c>
      <x:c r="L22" s="240" t="s">
        <x:v>158</x:v>
      </x:c>
      <x:c r="M22" s="326" t="str">
        <x:f>LOOKUP(W22,{1,2,3,4,5,6,7,8,9,10,11,12},{"4C","4B","4A","3C","3B","3A","2C","2B","2A","1C","1B","1A"})</x:f>
        <x:v>3A</x:v>
      </x:c>
      <x:c r="N22" s="88" t="s">
        <x:v>230</x:v>
      </x:c>
      <x:c r="O22" s="89" t="s">
        <x:v>158</x:v>
      </x:c>
      <x:c r="P22" s="262" t="s">
        <x:v>158</x:v>
      </x:c>
      <x:c r="Q22" s="88"/>
      <x:c r="R22" s="302" t="s">
        <x:v>225</x:v>
      </x:c>
      <x:c r="S22" s="90"/>
      <x:c r="T22" s="223"/>
      <x:c r="U22" s="301" t="s">
        <x:v>2</x:v>
      </x:c>
      <x:c r="W22" s="318">
        <x:f>(LOOKUP(J22,{"1A","1B","1C","2A","2B","2C","3A","3B","3C","4A","4B","4C"},{12,11,10,9,8,7,6,5,4,3,2,1})+LOOKUP(K22,{"1A","1B","1C","2A","2B","2C","3A","3B","3C","4A","4B","4C"},{12,11,10,9,8,7,6,5,4,3,2,1}))/2</x:f>
        <x:v>6</x:v>
      </x:c>
    </x:row>
    <x:row r="23" spans="1:23" customHeight="1">
      <x:c r="A23" s="73">
        <x:v>19</x:v>
      </x:c>
      <x:c r="B23" s="16" t="s">
        <x:v>382</x:v>
      </x:c>
      <x:c r="C23" s="16" t="s">
        <x:v>349</x:v>
      </x:c>
      <x:c r="D23" s="16" t="s">
        <x:v>210</x:v>
      </x:c>
      <x:c r="E23" s="16">
        <x:v>3</x:v>
      </x:c>
      <x:c r="F23" s="16" t="s">
        <x:v>200</x:v>
      </x:c>
      <x:c r="G23" s="16"/>
      <x:c r="H23" s="16" t="s">
        <x:v>267</x:v>
      </x:c>
      <x:c r="I23" s="29" t="s">
        <x:v>341</x:v>
      </x:c>
      <x:c r="J23" s="28" t="s">
        <x:v>201</x:v>
      </x:c>
      <x:c r="K23" s="17" t="s">
        <x:v>188</x:v>
      </x:c>
      <x:c r="L23" s="234" t="s">
        <x:v>188</x:v>
      </x:c>
      <x:c r="M23" s="326" t="str">
        <x:f>LOOKUP(W23,{1,2,3,4,5,6,7,8,9,10,11,12},{"4C","4B","4A","3C","3B","3A","2C","2B","2A","1C","1B","1A"})</x:f>
        <x:v>4A</x:v>
      </x:c>
      <x:c r="N23" s="28" t="s">
        <x:v>201</x:v>
      </x:c>
      <x:c r="O23" s="17" t="s">
        <x:v>36</x:v>
      </x:c>
      <x:c r="P23" s="66" t="s">
        <x:v>36</x:v>
      </x:c>
      <x:c r="Q23" s="28"/>
      <x:c r="R23" s="17" t="s">
        <x:v>158</x:v>
      </x:c>
      <x:c r="S23" s="35"/>
      <x:c r="T23" s="42"/>
      <x:c r="U23" s="100" t="s">
        <x:v>326</x:v>
      </x:c>
      <x:c r="W23" s="318">
        <x:f>(LOOKUP(J23,{"1A","1B","1C","2A","2B","2C","3A","3B","3C","4A","4B","4C"},{12,11,10,9,8,7,6,5,4,3,2,1})+LOOKUP(K23,{"1A","1B","1C","2A","2B","2C","3A","3B","3C","4A","4B","4C"},{12,11,10,9,8,7,6,5,4,3,2,1}))/2</x:f>
        <x:v>3.5</x:v>
      </x:c>
    </x:row>
    <x:row r="24" spans="1:23" customHeight="1">
      <x:c r="A24" s="73">
        <x:v>20</x:v>
      </x:c>
      <x:c r="B24" s="16" t="s">
        <x:v>382</x:v>
      </x:c>
      <x:c r="C24" s="16" t="s">
        <x:v>349</x:v>
      </x:c>
      <x:c r="D24" s="16" t="s">
        <x:v>210</x:v>
      </x:c>
      <x:c r="E24" s="16">
        <x:v>3</x:v>
      </x:c>
      <x:c r="F24" s="16" t="s">
        <x:v>293</x:v>
      </x:c>
      <x:c r="G24" s="16"/>
      <x:c r="H24" s="16" t="s">
        <x:v>267</x:v>
      </x:c>
      <x:c r="I24" s="29" t="s">
        <x:v>327</x:v>
      </x:c>
      <x:c r="J24" s="28" t="s">
        <x:v>230</x:v>
      </x:c>
      <x:c r="K24" s="17" t="s">
        <x:v>230</x:v>
      </x:c>
      <x:c r="L24" s="234" t="s">
        <x:v>230</x:v>
      </x:c>
      <x:c r="M24" s="326" t="str">
        <x:f>LOOKUP(W24,{1,2,3,4,5,6,7,8,9,10,11,12},{"4C","4B","4A","3C","3B","3A","2C","2B","2A","1C","1B","1A"})</x:f>
        <x:v>4A</x:v>
      </x:c>
      <x:c r="N24" s="28" t="s">
        <x:v>230</x:v>
      </x:c>
      <x:c r="O24" s="17" t="s">
        <x:v>230</x:v>
      </x:c>
      <x:c r="P24" s="66" t="s">
        <x:v>230</x:v>
      </x:c>
      <x:c r="Q24" s="28" t="s">
        <x:v>36</x:v>
      </x:c>
      <x:c r="R24" s="17"/>
      <x:c r="S24" s="35"/>
      <x:c r="T24" s="42"/>
      <x:c r="U24" s="103" t="s">
        <x:v>335</x:v>
      </x:c>
      <x:c r="W24" s="318">
        <x:f>(LOOKUP(J24,{"1A","1B","1C","2A","2B","2C","3A","3B","3C","4A","4B","4C"},{12,11,10,9,8,7,6,5,4,3,2,1})+LOOKUP(K24,{"1A","1B","1C","2A","2B","2C","3A","3B","3C","4A","4B","4C"},{12,11,10,9,8,7,6,5,4,3,2,1}))/2</x:f>
        <x:v>3</x:v>
      </x:c>
    </x:row>
    <x:row r="25" spans="1:23" customHeight="1">
      <x:c r="A25" s="73">
        <x:v>21</x:v>
      </x:c>
      <x:c r="B25" s="16" t="s">
        <x:v>382</x:v>
      </x:c>
      <x:c r="C25" s="16" t="s">
        <x:v>285</x:v>
      </x:c>
      <x:c r="D25" s="16" t="s">
        <x:v>210</x:v>
      </x:c>
      <x:c r="E25" s="16">
        <x:v>4</x:v>
      </x:c>
      <x:c r="F25" s="16" t="s">
        <x:v>107</x:v>
      </x:c>
      <x:c r="G25" s="16"/>
      <x:c r="H25" s="16" t="s">
        <x:v>267</x:v>
      </x:c>
      <x:c r="I25" s="29" t="s">
        <x:v>341</x:v>
      </x:c>
      <x:c r="J25" s="28" t="s">
        <x:v>238</x:v>
      </x:c>
      <x:c r="K25" s="17" t="s">
        <x:v>230</x:v>
      </x:c>
      <x:c r="L25" s="234" t="s">
        <x:v>201</x:v>
      </x:c>
      <x:c r="M25" s="326" t="str">
        <x:f>LOOKUP(W25,{1,2,3,4,5,6,7,8,9,10,11,12},{"4C","4B","4A","3C","3B","3A","2C","2B","2A","1C","1B","1A"})</x:f>
        <x:v>4B</x:v>
      </x:c>
      <x:c r="N25" s="28" t="s">
        <x:v>238</x:v>
      </x:c>
      <x:c r="O25" s="17" t="s">
        <x:v>230</x:v>
      </x:c>
      <x:c r="P25" s="66" t="s">
        <x:v>201</x:v>
      </x:c>
      <x:c r="Q25" s="28"/>
      <x:c r="R25" s="17" t="s">
        <x:v>36</x:v>
      </x:c>
      <x:c r="S25" s="35"/>
      <x:c r="T25" s="42"/>
      <x:c r="U25" s="100" t="s">
        <x:v>3</x:v>
      </x:c>
      <x:c r="W25" s="318">
        <x:f>(LOOKUP(J25,{"1A","1B","1C","2A","2B","2C","3A","3B","3C","4A","4B","4C"},{12,11,10,9,8,7,6,5,4,3,2,1})+LOOKUP(K25,{"1A","1B","1C","2A","2B","2C","3A","3B","3C","4A","4B","4C"},{12,11,10,9,8,7,6,5,4,3,2,1}))/2</x:f>
        <x:v>2</x:v>
      </x:c>
    </x:row>
    <x:row r="26" spans="1:23" s="1" customFormat="1" customHeight="1">
      <x:c r="A26" s="73">
        <x:v>22</x:v>
      </x:c>
      <x:c r="B26" s="86" t="s">
        <x:v>382</x:v>
      </x:c>
      <x:c r="C26" s="86" t="s">
        <x:v>349</x:v>
      </x:c>
      <x:c r="D26" s="86" t="s">
        <x:v>210</x:v>
      </x:c>
      <x:c r="E26" s="86"/>
      <x:c r="F26" s="86" t="s">
        <x:v>26</x:v>
      </x:c>
      <x:c r="G26" s="86"/>
      <x:c r="H26" s="86" t="s">
        <x:v>267</x:v>
      </x:c>
      <x:c r="I26" s="90"/>
      <x:c r="J26" s="88"/>
      <x:c r="K26" s="89"/>
      <x:c r="L26" s="240"/>
      <x:c r="M26" s="326"/>
      <x:c r="N26" s="88" t="s">
        <x:v>238</x:v>
      </x:c>
      <x:c r="O26" s="89" t="s">
        <x:v>238</x:v>
      </x:c>
      <x:c r="P26" s="262" t="s">
        <x:v>238</x:v>
      </x:c>
      <x:c r="Q26" s="88"/>
      <x:c r="R26" s="302" t="s">
        <x:v>191</x:v>
      </x:c>
      <x:c r="S26" s="90"/>
      <x:c r="T26" s="223"/>
      <x:c r="U26" s="195" t="s">
        <x:v>322</x:v>
      </x:c>
      <x:c r="W26" s="318" t="e">
        <x:f>(LOOKUP(J26,{"1A","1B","1C","2A","2B","2C","3A","3B","3C","4A","4B","4C"},{12,11,10,9,8,7,6,5,4,3,2,1})+LOOKUP(K26,{"1A","1B","1C","2A","2B","2C","3A","3B","3C","4A","4B","4C"},{12,11,10,9,8,7,6,5,4,3,2,1}))/2</x:f>
        <x:v>#N/A</x:v>
      </x:c>
    </x:row>
    <x:row r="27" spans="1:23" customHeight="1">
      <x:c r="A27" s="73">
        <x:v>23</x:v>
      </x:c>
      <x:c r="B27" s="15" t="s">
        <x:v>382</x:v>
      </x:c>
      <x:c r="C27" s="54" t="s">
        <x:v>280</x:v>
      </x:c>
      <x:c r="D27" s="54" t="s">
        <x:v>179</x:v>
      </x:c>
      <x:c r="E27" s="15">
        <x:v>4</x:v>
      </x:c>
      <x:c r="F27" s="61" t="s">
        <x:v>258</x:v>
      </x:c>
      <x:c r="G27" s="16"/>
      <x:c r="H27" s="54" t="s">
        <x:v>272</x:v>
      </x:c>
      <x:c r="I27" s="58" t="s">
        <x:v>344</x:v>
      </x:c>
      <x:c r="J27" s="127" t="s">
        <x:v>225</x:v>
      </x:c>
      <x:c r="K27" s="131" t="s">
        <x:v>225</x:v>
      </x:c>
      <x:c r="L27" s="320" t="s">
        <x:v>225</x:v>
      </x:c>
      <x:c r="M27" s="326" t="str">
        <x:f>LOOKUP(W27,{1,2,3,4,5,6,7,8,9,10,11,12},{"4C","4B","4A","3C","3B","3A","2C","2B","2A","1C","1B","1A"})</x:f>
        <x:v>1A</x:v>
      </x:c>
      <x:c r="N27" s="92" t="s">
        <x:v>225</x:v>
      </x:c>
      <x:c r="O27" s="93" t="s">
        <x:v>225</x:v>
      </x:c>
      <x:c r="P27" s="58" t="s">
        <x:v>225</x:v>
      </x:c>
      <x:c r="Q27" s="28"/>
      <x:c r="R27" s="17"/>
      <x:c r="S27" s="35"/>
      <x:c r="T27" s="42"/>
      <x:c r="U27" s="118" t="s">
        <x:v>372</x:v>
      </x:c>
      <x:c r="W27" s="318">
        <x:f>(LOOKUP(J27,{"1A","1B","1C","2A","2B","2C","3A","3B","3C","4A","4B","4C"},{12,11,10,9,8,7,6,5,4,3,2,1})+LOOKUP(K27,{"1A","1B","1C","2A","2B","2C","3A","3B","3C","4A","4B","4C"},{12,11,10,9,8,7,6,5,4,3,2,1}))/2</x:f>
        <x:v>12</x:v>
      </x:c>
    </x:row>
    <x:row r="28" spans="1:23" customHeight="1">
      <x:c r="A28" s="73">
        <x:v>24</x:v>
      </x:c>
      <x:c r="B28" s="15" t="s">
        <x:v>382</x:v>
      </x:c>
      <x:c r="C28" s="54" t="s">
        <x:v>280</x:v>
      </x:c>
      <x:c r="D28" s="54" t="s">
        <x:v>217</x:v>
      </x:c>
      <x:c r="E28" s="15">
        <x:v>4</x:v>
      </x:c>
      <x:c r="F28" s="61" t="s">
        <x:v>256</x:v>
      </x:c>
      <x:c r="G28" s="15"/>
      <x:c r="H28" s="54" t="s">
        <x:v>272</x:v>
      </x:c>
      <x:c r="I28" s="58" t="s">
        <x:v>376</x:v>
      </x:c>
      <x:c r="J28" s="127" t="s">
        <x:v>215</x:v>
      </x:c>
      <x:c r="K28" s="131" t="s">
        <x:v>188</x:v>
      </x:c>
      <x:c r="L28" s="320" t="s">
        <x:v>215</x:v>
      </x:c>
      <x:c r="M28" s="326" t="str">
        <x:f>LOOKUP(W28,{1,2,3,4,5,6,7,8,9,10,11,12},{"4C","4B","4A","3C","3B","3A","2C","2B","2A","1C","1B","1A"})</x:f>
        <x:v>2C</x:v>
      </x:c>
      <x:c r="N28" s="92" t="s">
        <x:v>215</x:v>
      </x:c>
      <x:c r="O28" s="93" t="s">
        <x:v>188</x:v>
      </x:c>
      <x:c r="P28" s="58" t="s">
        <x:v>215</x:v>
      </x:c>
      <x:c r="Q28" s="28"/>
      <x:c r="R28" s="17"/>
      <x:c r="S28" s="35"/>
      <x:c r="T28" s="42"/>
      <x:c r="U28" s="118" t="s">
        <x:v>372</x:v>
      </x:c>
      <x:c r="W28" s="318">
        <x:f>(LOOKUP(J28,{"1A","1B","1C","2A","2B","2C","3A","3B","3C","4A","4B","4C"},{12,11,10,9,8,7,6,5,4,3,2,1})+LOOKUP(K28,{"1A","1B","1C","2A","2B","2C","3A","3B","3C","4A","4B","4C"},{12,11,10,9,8,7,6,5,4,3,2,1}))/2</x:f>
        <x:v>7.5</x:v>
      </x:c>
    </x:row>
    <x:row r="29" spans="1:23" customHeight="1">
      <x:c r="A29" s="73">
        <x:v>25</x:v>
      </x:c>
      <x:c r="B29" s="15" t="s">
        <x:v>382</x:v>
      </x:c>
      <x:c r="C29" s="54" t="s">
        <x:v>280</x:v>
      </x:c>
      <x:c r="D29" s="54" t="s">
        <x:v>217</x:v>
      </x:c>
      <x:c r="E29" s="15">
        <x:v>5</x:v>
      </x:c>
      <x:c r="F29" s="61" t="s">
        <x:v>236</x:v>
      </x:c>
      <x:c r="G29" s="15"/>
      <x:c r="H29" s="54" t="s">
        <x:v>272</x:v>
      </x:c>
      <x:c r="I29" s="58" t="s">
        <x:v>366</x:v>
      </x:c>
      <x:c r="J29" s="92" t="s">
        <x:v>225</x:v>
      </x:c>
      <x:c r="K29" s="93" t="s">
        <x:v>36</x:v>
      </x:c>
      <x:c r="L29" s="320" t="s">
        <x:v>225</x:v>
      </x:c>
      <x:c r="M29" s="326" t="str">
        <x:f>LOOKUP(W29,{1,2,3,4,5,6,7,8,9,10,11,12},{"4C","4B","4A","3C","3B","3A","2C","2B","2A","1C","1B","1A"})</x:f>
        <x:v>2A</x:v>
      </x:c>
      <x:c r="N29" s="92" t="s">
        <x:v>225</x:v>
      </x:c>
      <x:c r="O29" s="93" t="s">
        <x:v>36</x:v>
      </x:c>
      <x:c r="P29" s="58" t="s">
        <x:v>225</x:v>
      </x:c>
      <x:c r="Q29" s="28"/>
      <x:c r="R29" s="17"/>
      <x:c r="S29" s="35"/>
      <x:c r="T29" s="42"/>
      <x:c r="U29" s="118" t="s">
        <x:v>372</x:v>
      </x:c>
      <x:c r="W29" s="318">
        <x:f>(LOOKUP(J29,{"1A","1B","1C","2A","2B","2C","3A","3B","3C","4A","4B","4C"},{12,11,10,9,8,7,6,5,4,3,2,1})+LOOKUP(K29,{"1A","1B","1C","2A","2B","2C","3A","3B","3C","4A","4B","4C"},{12,11,10,9,8,7,6,5,4,3,2,1}))/2</x:f>
        <x:v>9</x:v>
      </x:c>
    </x:row>
    <x:row r="30" spans="1:23" customHeight="1">
      <x:c r="A30" s="73">
        <x:v>26</x:v>
      </x:c>
      <x:c r="B30" s="15" t="s">
        <x:v>382</x:v>
      </x:c>
      <x:c r="C30" s="54" t="s">
        <x:v>283</x:v>
      </x:c>
      <x:c r="D30" s="54" t="s">
        <x:v>217</x:v>
      </x:c>
      <x:c r="E30" s="15">
        <x:v>5</x:v>
      </x:c>
      <x:c r="F30" s="61" t="s">
        <x:v>155</x:v>
      </x:c>
      <x:c r="G30" s="15"/>
      <x:c r="H30" s="54" t="s">
        <x:v>272</x:v>
      </x:c>
      <x:c r="I30" s="58" t="s">
        <x:v>355</x:v>
      </x:c>
      <x:c r="J30" s="92" t="s">
        <x:v>158</x:v>
      </x:c>
      <x:c r="K30" s="93" t="s">
        <x:v>191</x:v>
      </x:c>
      <x:c r="L30" s="321" t="s">
        <x:v>158</x:v>
      </x:c>
      <x:c r="M30" s="327" t="str">
        <x:f>LOOKUP(W30,{1,2,3,4,5,6,7,8,9,10,11,12},{"4C","4B","4A","3C","3B","3A","2C","2B","2A","1C","1B","1A"})</x:f>
        <x:v>3A</x:v>
      </x:c>
      <x:c r="N30" s="92" t="s">
        <x:v>158</x:v>
      </x:c>
      <x:c r="O30" s="93" t="s">
        <x:v>191</x:v>
      </x:c>
      <x:c r="P30" s="124" t="s">
        <x:v>158</x:v>
      </x:c>
      <x:c r="Q30" s="28"/>
      <x:c r="R30" s="17"/>
      <x:c r="S30" s="35"/>
      <x:c r="T30" s="42"/>
      <x:c r="U30" s="118" t="s">
        <x:v>283</x:v>
      </x:c>
      <x:c r="W30" s="318">
        <x:f>(LOOKUP(J30,{"1A","1B","1C","2A","2B","2C","3A","3B","3C","4A","4B","4C"},{12,11,10,9,8,7,6,5,4,3,2,1})+LOOKUP(K30,{"1A","1B","1C","2A","2B","2C","3A","3B","3C","4A","4B","4C"},{12,11,10,9,8,7,6,5,4,3,2,1}))/2</x:f>
        <x:v>6.5</x:v>
      </x:c>
    </x:row>
    <x:row r="31" spans="1:23" customHeight="1">
      <x:c r="A31" s="73">
        <x:v>27</x:v>
      </x:c>
      <x:c r="B31" s="15" t="s">
        <x:v>382</x:v>
      </x:c>
      <x:c r="C31" s="54" t="s">
        <x:v>252</x:v>
      </x:c>
      <x:c r="D31" s="54" t="s">
        <x:v>167</x:v>
      </x:c>
      <x:c r="E31" s="15">
        <x:v>6</x:v>
      </x:c>
      <x:c r="F31" s="20" t="s">
        <x:v>289</x:v>
      </x:c>
      <x:c r="G31" s="16"/>
      <x:c r="H31" s="54" t="s">
        <x:v>272</x:v>
      </x:c>
      <x:c r="I31" s="58" t="s">
        <x:v>380</x:v>
      </x:c>
      <x:c r="J31" s="122" t="s">
        <x:v>269</x:v>
      </x:c>
      <x:c r="K31" s="261" t="s">
        <x:v>269</x:v>
      </x:c>
      <x:c r="L31" s="322" t="s">
        <x:v>269</x:v>
      </x:c>
      <x:c r="M31" s="328" t="s">
        <x:v>269</x:v>
      </x:c>
      <x:c r="N31" s="122" t="s">
        <x:v>269</x:v>
      </x:c>
      <x:c r="O31" s="261" t="s">
        <x:v>269</x:v>
      </x:c>
      <x:c r="P31" s="267" t="s">
        <x:v>269</x:v>
      </x:c>
      <x:c r="Q31" s="28"/>
      <x:c r="R31" s="17"/>
      <x:c r="S31" s="35"/>
      <x:c r="T31" s="42"/>
      <x:c r="U31" s="118" t="s">
        <x:v>380</x:v>
      </x:c>
      <x:c r="W31" s="318" t="e">
        <x:f>(LOOKUP(J31,{"1A","1B","1C","2A","2B","2C","3A","3B","3C","4A","4B","4C"},{12,11,10,9,8,7,6,5,4,3,2,1})+LOOKUP(K31,{"1A","1B","1C","2A","2B","2C","3A","3B","3C","4A","4B","4C"},{12,11,10,9,8,7,6,5,4,3,2,1}))/2</x:f>
        <x:v>#N/A</x:v>
      </x:c>
    </x:row>
    <x:row r="32" spans="1:23" customHeight="1">
      <x:c r="A32" s="73">
        <x:v>28</x:v>
      </x:c>
      <x:c r="B32" s="15" t="s">
        <x:v>382</x:v>
      </x:c>
      <x:c r="C32" s="54" t="s">
        <x:v>283</x:v>
      </x:c>
      <x:c r="D32" s="54" t="s">
        <x:v>171</x:v>
      </x:c>
      <x:c r="E32" s="15">
        <x:v>6</x:v>
      </x:c>
      <x:c r="F32" s="61" t="s">
        <x:v>232</x:v>
      </x:c>
      <x:c r="G32" s="15"/>
      <x:c r="H32" s="54" t="s">
        <x:v>272</x:v>
      </x:c>
      <x:c r="I32" s="58" t="s">
        <x:v>345</x:v>
      </x:c>
      <x:c r="J32" s="122" t="s">
        <x:v>269</x:v>
      </x:c>
      <x:c r="K32" s="261" t="s">
        <x:v>269</x:v>
      </x:c>
      <x:c r="L32" s="322" t="s">
        <x:v>269</x:v>
      </x:c>
      <x:c r="M32" s="328" t="s">
        <x:v>269</x:v>
      </x:c>
      <x:c r="N32" s="122" t="s">
        <x:v>269</x:v>
      </x:c>
      <x:c r="O32" s="261" t="s">
        <x:v>269</x:v>
      </x:c>
      <x:c r="P32" s="267" t="s">
        <x:v>269</x:v>
      </x:c>
      <x:c r="Q32" s="28"/>
      <x:c r="R32" s="17"/>
      <x:c r="S32" s="35"/>
      <x:c r="T32" s="42"/>
      <x:c r="U32" s="118" t="s">
        <x:v>283</x:v>
      </x:c>
      <x:c r="W32" s="318" t="e">
        <x:f>(LOOKUP(J32,{"1A","1B","1C","2A","2B","2C","3A","3B","3C","4A","4B","4C"},{12,11,10,9,8,7,6,5,4,3,2,1})+LOOKUP(K32,{"1A","1B","1C","2A","2B","2C","3A","3B","3C","4A","4B","4C"},{12,11,10,9,8,7,6,5,4,3,2,1}))/2</x:f>
        <x:v>#N/A</x:v>
      </x:c>
    </x:row>
    <x:row r="33" spans="1:23" s="71" customFormat="1" customHeight="1">
      <x:c r="A33" s="73">
        <x:v>29</x:v>
      </x:c>
      <x:c r="B33" s="16" t="s">
        <x:v>382</x:v>
      </x:c>
      <x:c r="C33" s="16" t="s">
        <x:v>349</x:v>
      </x:c>
      <x:c r="D33" s="16" t="s">
        <x:v>179</x:v>
      </x:c>
      <x:c r="E33" s="16">
        <x:v>6</x:v>
      </x:c>
      <x:c r="F33" s="16" t="s">
        <x:v>60</x:v>
      </x:c>
      <x:c r="G33" s="16"/>
      <x:c r="H33" s="16" t="s">
        <x:v>267</x:v>
      </x:c>
      <x:c r="I33" s="29" t="s">
        <x:v>327</x:v>
      </x:c>
      <x:c r="J33" s="28" t="s">
        <x:v>223</x:v>
      </x:c>
      <x:c r="K33" s="17" t="s">
        <x:v>223</x:v>
      </x:c>
      <x:c r="L33" s="240" t="s">
        <x:v>223</x:v>
      </x:c>
      <x:c r="M33" s="326" t="str">
        <x:f>LOOKUP(W33,{1,2,3,4,5,6,7,8,9,10,11,12},{"4C","4B","4A","3C","3B","3A","2C","2B","2A","1C","1B","1A"})</x:f>
        <x:v>2B</x:v>
      </x:c>
      <x:c r="N33" s="28" t="s">
        <x:v>223</x:v>
      </x:c>
      <x:c r="O33" s="17" t="s">
        <x:v>223</x:v>
      </x:c>
      <x:c r="P33" s="66" t="s">
        <x:v>223</x:v>
      </x:c>
      <x:c r="Q33" s="28" t="s">
        <x:v>215</x:v>
      </x:c>
      <x:c r="R33" s="17"/>
      <x:c r="S33" s="35"/>
      <x:c r="T33" s="42"/>
      <x:c r="U33" s="36"/>
      <x:c r="V33" s="37"/>
      <x:c r="W33" s="318">
        <x:f>(LOOKUP(J33,{"1A","1B","1C","2A","2B","2C","3A","3B","3C","4A","4B","4C"},{12,11,10,9,8,7,6,5,4,3,2,1})+LOOKUP(K33,{"1A","1B","1C","2A","2B","2C","3A","3B","3C","4A","4B","4C"},{12,11,10,9,8,7,6,5,4,3,2,1}))/2</x:f>
        <x:v>8</x:v>
      </x:c>
    </x:row>
    <x:row r="34" spans="1:23" customHeight="1">
      <x:c r="A34" s="73">
        <x:v>30</x:v>
      </x:c>
      <x:c r="B34" s="16" t="s">
        <x:v>382</x:v>
      </x:c>
      <x:c r="C34" s="16" t="s">
        <x:v>373</x:v>
      </x:c>
      <x:c r="D34" s="16" t="s">
        <x:v>179</x:v>
      </x:c>
      <x:c r="E34" s="16">
        <x:v>6</x:v>
      </x:c>
      <x:c r="F34" s="16" t="s">
        <x:v>127</x:v>
      </x:c>
      <x:c r="G34" s="16"/>
      <x:c r="H34" s="16" t="s">
        <x:v>267</x:v>
      </x:c>
      <x:c r="I34" s="29" t="s">
        <x:v>325</x:v>
      </x:c>
      <x:c r="J34" s="28" t="s">
        <x:v>215</x:v>
      </x:c>
      <x:c r="K34" s="17" t="s">
        <x:v>225</x:v>
      </x:c>
      <x:c r="L34" s="240" t="s">
        <x:v>225</x:v>
      </x:c>
      <x:c r="M34" s="326" t="str">
        <x:f>LOOKUP(W34,{1,2,3,4,5,6,7,8,9,10,11,12},{"4C","4B","4A","3C","3B","3A","2C","2B","2A","1C","1B","1A"})</x:f>
        <x:v>1B</x:v>
      </x:c>
      <x:c r="N34" s="28" t="s">
        <x:v>215</x:v>
      </x:c>
      <x:c r="O34" s="17" t="s">
        <x:v>225</x:v>
      </x:c>
      <x:c r="P34" s="66" t="s">
        <x:v>225</x:v>
      </x:c>
      <x:c r="Q34" s="28" t="s">
        <x:v>225</x:v>
      </x:c>
      <x:c r="R34" s="17"/>
      <x:c r="S34" s="35"/>
      <x:c r="T34" s="42"/>
      <x:c r="U34" s="140"/>
      <x:c r="W34" s="318">
        <x:f>(LOOKUP(J34,{"1A","1B","1C","2A","2B","2C","3A","3B","3C","4A","4B","4C"},{12,11,10,9,8,7,6,5,4,3,2,1})+LOOKUP(K34,{"1A","1B","1C","2A","2B","2C","3A","3B","3C","4A","4B","4C"},{12,11,10,9,8,7,6,5,4,3,2,1}))/2</x:f>
        <x:v>11</x:v>
      </x:c>
    </x:row>
    <x:row r="35" spans="1:23" customHeight="1">
      <x:c r="A35" s="73">
        <x:v>31</x:v>
      </x:c>
      <x:c r="B35" s="15" t="s">
        <x:v>382</x:v>
      </x:c>
      <x:c r="C35" s="16" t="s">
        <x:v>285</x:v>
      </x:c>
      <x:c r="D35" s="15" t="s">
        <x:v>217</x:v>
      </x:c>
      <x:c r="E35" s="15">
        <x:v>6</x:v>
      </x:c>
      <x:c r="F35" s="16" t="s">
        <x:v>174</x:v>
      </x:c>
      <x:c r="G35" s="15"/>
      <x:c r="H35" s="15" t="s">
        <x:v>267</x:v>
      </x:c>
      <x:c r="I35" s="29" t="s">
        <x:v>327</x:v>
      </x:c>
      <x:c r="J35" s="28" t="s">
        <x:v>175</x:v>
      </x:c>
      <x:c r="K35" s="17" t="s">
        <x:v>191</x:v>
      </x:c>
      <x:c r="L35" s="240" t="s">
        <x:v>175</x:v>
      </x:c>
      <x:c r="M35" s="326" t="str">
        <x:f>LOOKUP(W35,{1,2,3,4,5,6,7,8,9,10,11,12},{"4C","4B","4A","3C","3B","3A","2C","2B","2A","1C","1B","1A"})</x:f>
        <x:v>3B</x:v>
      </x:c>
      <x:c r="N35" s="28" t="s">
        <x:v>175</x:v>
      </x:c>
      <x:c r="O35" s="17" t="s">
        <x:v>191</x:v>
      </x:c>
      <x:c r="P35" s="66" t="s">
        <x:v>175</x:v>
      </x:c>
      <x:c r="Q35" s="28" t="s">
        <x:v>158</x:v>
      </x:c>
      <x:c r="R35" s="17"/>
      <x:c r="S35" s="35"/>
      <x:c r="T35" s="42"/>
      <x:c r="U35" s="23"/>
      <x:c r="W35" s="318">
        <x:f>(LOOKUP(J35,{"1A","1B","1C","2A","2B","2C","3A","3B","3C","4A","4B","4C"},{12,11,10,9,8,7,6,5,4,3,2,1})+LOOKUP(K35,{"1A","1B","1C","2A","2B","2C","3A","3B","3C","4A","4B","4C"},{12,11,10,9,8,7,6,5,4,3,2,1}))/2</x:f>
        <x:v>5.5</x:v>
      </x:c>
    </x:row>
    <x:row r="36" spans="1:23" s="71" customFormat="1" customHeight="1">
      <x:c r="A36" s="73">
        <x:v>32</x:v>
      </x:c>
      <x:c r="B36" s="16" t="s">
        <x:v>382</x:v>
      </x:c>
      <x:c r="C36" s="16" t="s">
        <x:v>349</x:v>
      </x:c>
      <x:c r="D36" s="16" t="s">
        <x:v>217</x:v>
      </x:c>
      <x:c r="E36" s="16">
        <x:v>6</x:v>
      </x:c>
      <x:c r="F36" s="16" t="s">
        <x:v>138</x:v>
      </x:c>
      <x:c r="G36" s="16"/>
      <x:c r="H36" s="16" t="s">
        <x:v>267</x:v>
      </x:c>
      <x:c r="I36" s="29" t="s">
        <x:v>325</x:v>
      </x:c>
      <x:c r="J36" s="28" t="s">
        <x:v>36</x:v>
      </x:c>
      <x:c r="K36" s="17" t="s">
        <x:v>158</x:v>
      </x:c>
      <x:c r="L36" s="240" t="s">
        <x:v>158</x:v>
      </x:c>
      <x:c r="M36" s="326" t="str">
        <x:f>LOOKUP(W36,{1,2,3,4,5,6,7,8,9,10,11,12},{"4C","4B","4A","3C","3B","3A","2C","2B","2A","1C","1B","1A"})</x:f>
        <x:v>2C</x:v>
      </x:c>
      <x:c r="N36" s="28" t="s">
        <x:v>36</x:v>
      </x:c>
      <x:c r="O36" s="17" t="s">
        <x:v>158</x:v>
      </x:c>
      <x:c r="P36" s="66" t="s">
        <x:v>158</x:v>
      </x:c>
      <x:c r="Q36" s="28"/>
      <x:c r="R36" s="17" t="s">
        <x:v>225</x:v>
      </x:c>
      <x:c r="S36" s="35"/>
      <x:c r="T36" s="42"/>
      <x:c r="U36" s="36"/>
      <x:c r="V36" s="37"/>
      <x:c r="W36" s="318">
        <x:f>(LOOKUP(J36,{"1A","1B","1C","2A","2B","2C","3A","3B","3C","4A","4B","4C"},{12,11,10,9,8,7,6,5,4,3,2,1})+LOOKUP(K36,{"1A","1B","1C","2A","2B","2C","3A","3B","3C","4A","4B","4C"},{12,11,10,9,8,7,6,5,4,3,2,1}))/2</x:f>
        <x:v>7.5</x:v>
      </x:c>
    </x:row>
    <x:row r="37" spans="1:23" s="71" customFormat="1" customHeight="1">
      <x:c r="A37" s="73">
        <x:v>33</x:v>
      </x:c>
      <x:c r="B37" s="16" t="s">
        <x:v>382</x:v>
      </x:c>
      <x:c r="C37" s="16" t="s">
        <x:v>285</x:v>
      </x:c>
      <x:c r="D37" s="16" t="s">
        <x:v>217</x:v>
      </x:c>
      <x:c r="E37" s="16">
        <x:v>6</x:v>
      </x:c>
      <x:c r="F37" s="16" t="s">
        <x:v>131</x:v>
      </x:c>
      <x:c r="G37" s="16"/>
      <x:c r="H37" s="16" t="s">
        <x:v>267</x:v>
      </x:c>
      <x:c r="I37" s="29" t="s">
        <x:v>327</x:v>
      </x:c>
      <x:c r="J37" s="28" t="s">
        <x:v>225</x:v>
      </x:c>
      <x:c r="K37" s="17" t="s">
        <x:v>188</x:v>
      </x:c>
      <x:c r="L37" s="240" t="s">
        <x:v>225</x:v>
      </x:c>
      <x:c r="M37" s="326" t="str">
        <x:f>LOOKUP(W37,{1,2,3,4,5,6,7,8,9,10,11,12},{"4C","4B","4A","3C","3B","3A","2C","2B","2A","1C","1B","1A"})</x:f>
        <x:v>2B</x:v>
      </x:c>
      <x:c r="N37" s="28" t="s">
        <x:v>225</x:v>
      </x:c>
      <x:c r="O37" s="17" t="s">
        <x:v>188</x:v>
      </x:c>
      <x:c r="P37" s="66" t="s">
        <x:v>225</x:v>
      </x:c>
      <x:c r="Q37" s="28"/>
      <x:c r="R37" s="17" t="s">
        <x:v>175</x:v>
      </x:c>
      <x:c r="S37" s="35"/>
      <x:c r="T37" s="42"/>
      <x:c r="U37" s="140"/>
      <x:c r="V37" s="37"/>
      <x:c r="W37" s="318">
        <x:f>(LOOKUP(J37,{"1A","1B","1C","2A","2B","2C","3A","3B","3C","4A","4B","4C"},{12,11,10,9,8,7,6,5,4,3,2,1})+LOOKUP(K37,{"1A","1B","1C","2A","2B","2C","3A","3B","3C","4A","4B","4C"},{12,11,10,9,8,7,6,5,4,3,2,1}))/2</x:f>
        <x:v>8.5</x:v>
      </x:c>
    </x:row>
    <x:row r="38" spans="1:23" customHeight="1">
      <x:c r="A38" s="73">
        <x:v>34</x:v>
      </x:c>
      <x:c r="B38" s="15" t="s">
        <x:v>382</x:v>
      </x:c>
      <x:c r="C38" s="15" t="s">
        <x:v>349</x:v>
      </x:c>
      <x:c r="D38" s="15" t="s">
        <x:v>217</x:v>
      </x:c>
      <x:c r="E38" s="15">
        <x:v>6</x:v>
      </x:c>
      <x:c r="F38" s="16" t="s">
        <x:v>62</x:v>
      </x:c>
      <x:c r="G38" s="15"/>
      <x:c r="H38" s="15" t="s">
        <x:v>267</x:v>
      </x:c>
      <x:c r="I38" s="29" t="s">
        <x:v>325</x:v>
      </x:c>
      <x:c r="J38" s="28" t="s">
        <x:v>162</x:v>
      </x:c>
      <x:c r="K38" s="17" t="s">
        <x:v>158</x:v>
      </x:c>
      <x:c r="L38" s="240" t="s">
        <x:v>162</x:v>
      </x:c>
      <x:c r="M38" s="326" t="str">
        <x:f>LOOKUP(W38,{1,2,3,4,5,6,7,8,9,10,11,12},{"4C","4B","4A","3C","3B","3A","2C","2B","2A","1C","1B","1A"})</x:f>
        <x:v>1C</x:v>
      </x:c>
      <x:c r="N38" s="28" t="s">
        <x:v>162</x:v>
      </x:c>
      <x:c r="O38" s="17" t="s">
        <x:v>158</x:v>
      </x:c>
      <x:c r="P38" s="66" t="s">
        <x:v>162</x:v>
      </x:c>
      <x:c r="Q38" s="28"/>
      <x:c r="R38" s="17" t="s">
        <x:v>225</x:v>
      </x:c>
      <x:c r="S38" s="35"/>
      <x:c r="T38" s="42"/>
      <x:c r="U38" s="23"/>
      <x:c r="W38" s="318">
        <x:f>(LOOKUP(J38,{"1A","1B","1C","2A","2B","2C","3A","3B","3C","4A","4B","4C"},{12,11,10,9,8,7,6,5,4,3,2,1})+LOOKUP(K38,{"1A","1B","1C","2A","2B","2C","3A","3B","3C","4A","4B","4C"},{12,11,10,9,8,7,6,5,4,3,2,1}))/2</x:f>
        <x:v>10</x:v>
      </x:c>
    </x:row>
    <x:row r="39" spans="1:23" customHeight="1">
      <x:c r="A39" s="73">
        <x:v>35</x:v>
      </x:c>
      <x:c r="B39" s="86" t="s">
        <x:v>382</x:v>
      </x:c>
      <x:c r="C39" s="86" t="s">
        <x:v>349</x:v>
      </x:c>
      <x:c r="D39" s="86" t="s">
        <x:v>217</x:v>
      </x:c>
      <x:c r="E39" s="86">
        <x:v>6</x:v>
      </x:c>
      <x:c r="F39" s="86" t="s">
        <x:v>187</x:v>
      </x:c>
      <x:c r="G39" s="86"/>
      <x:c r="H39" s="86" t="s">
        <x:v>267</x:v>
      </x:c>
      <x:c r="I39" s="90" t="s">
        <x:v>325</x:v>
      </x:c>
      <x:c r="J39" s="88" t="s">
        <x:v>230</x:v>
      </x:c>
      <x:c r="K39" s="89" t="s">
        <x:v>223</x:v>
      </x:c>
      <x:c r="L39" s="240" t="s">
        <x:v>223</x:v>
      </x:c>
      <x:c r="M39" s="326" t="str">
        <x:f>LOOKUP(W39,{1,2,3,4,5,6,7,8,9,10,11,12},{"4C","4B","4A","3C","3B","3A","2C","2B","2A","1C","1B","1A"})</x:f>
        <x:v>3B</x:v>
      </x:c>
      <x:c r="N39" s="88" t="s">
        <x:v>230</x:v>
      </x:c>
      <x:c r="O39" s="89" t="s">
        <x:v>223</x:v>
      </x:c>
      <x:c r="P39" s="262" t="s">
        <x:v>223</x:v>
      </x:c>
      <x:c r="Q39" s="88"/>
      <x:c r="R39" s="89"/>
      <x:c r="S39" s="90"/>
      <x:c r="T39" s="223"/>
      <x:c r="U39" s="310" t="s">
        <x:v>346</x:v>
      </x:c>
      <x:c r="W39" s="318">
        <x:f>(LOOKUP(J39,{"1A","1B","1C","2A","2B","2C","3A","3B","3C","4A","4B","4C"},{12,11,10,9,8,7,6,5,4,3,2,1})+LOOKUP(K39,{"1A","1B","1C","2A","2B","2C","3A","3B","3C","4A","4B","4C"},{12,11,10,9,8,7,6,5,4,3,2,1}))/2</x:f>
        <x:v>5.5</x:v>
      </x:c>
    </x:row>
    <x:row r="40" spans="1:23" s="71" customFormat="1" customHeight="1">
      <x:c r="A40" s="73">
        <x:v>36</x:v>
      </x:c>
      <x:c r="B40" s="16" t="s">
        <x:v>382</x:v>
      </x:c>
      <x:c r="C40" s="16" t="s">
        <x:v>349</x:v>
      </x:c>
      <x:c r="D40" s="16" t="s">
        <x:v>217</x:v>
      </x:c>
      <x:c r="E40" s="16">
        <x:v>7</x:v>
      </x:c>
      <x:c r="F40" s="16" t="s">
        <x:v>222</x:v>
      </x:c>
      <x:c r="G40" s="16"/>
      <x:c r="H40" s="16" t="s">
        <x:v>267</x:v>
      </x:c>
      <x:c r="I40" s="29" t="s">
        <x:v>325</x:v>
      </x:c>
      <x:c r="J40" s="28" t="s">
        <x:v>36</x:v>
      </x:c>
      <x:c r="K40" s="17" t="s">
        <x:v>188</x:v>
      </x:c>
      <x:c r="L40" s="240" t="s">
        <x:v>36</x:v>
      </x:c>
      <x:c r="M40" s="326" t="str">
        <x:f>LOOKUP(W40,{1,2,3,4,5,6,7,8,9,10,11,12},{"4C","4B","4A","3C","3B","3A","2C","2B","2A","1C","1B","1A"})</x:f>
        <x:v>3B</x:v>
      </x:c>
      <x:c r="N40" s="28" t="s">
        <x:v>36</x:v>
      </x:c>
      <x:c r="O40" s="17" t="s">
        <x:v>188</x:v>
      </x:c>
      <x:c r="P40" s="66" t="s">
        <x:v>36</x:v>
      </x:c>
      <x:c r="Q40" s="28"/>
      <x:c r="R40" s="17" t="s">
        <x:v>175</x:v>
      </x:c>
      <x:c r="S40" s="35"/>
      <x:c r="T40" s="42"/>
      <x:c r="U40" s="102" t="s">
        <x:v>9</x:v>
      </x:c>
      <x:c r="V40" s="37"/>
      <x:c r="W40" s="318">
        <x:f>(LOOKUP(J40,{"1A","1B","1C","2A","2B","2C","3A","3B","3C","4A","4B","4C"},{12,11,10,9,8,7,6,5,4,3,2,1})+LOOKUP(K40,{"1A","1B","1C","2A","2B","2C","3A","3B","3C","4A","4B","4C"},{12,11,10,9,8,7,6,5,4,3,2,1}))/2</x:f>
        <x:v>5.5</x:v>
      </x:c>
    </x:row>
    <x:row r="41" spans="1:23" customHeight="1">
      <x:c r="A41" s="73">
        <x:v>37</x:v>
      </x:c>
      <x:c r="B41" s="15" t="s">
        <x:v>382</x:v>
      </x:c>
      <x:c r="C41" s="15" t="s">
        <x:v>359</x:v>
      </x:c>
      <x:c r="D41" s="15" t="s">
        <x:v>173</x:v>
      </x:c>
      <x:c r="E41" s="15">
        <x:v>7</x:v>
      </x:c>
      <x:c r="F41" s="16" t="s">
        <x:v>141</x:v>
      </x:c>
      <x:c r="G41" s="15"/>
      <x:c r="H41" s="15" t="s">
        <x:v>267</x:v>
      </x:c>
      <x:c r="I41" s="29" t="s">
        <x:v>325</x:v>
      </x:c>
      <x:c r="J41" s="28" t="s">
        <x:v>225</x:v>
      </x:c>
      <x:c r="K41" s="17" t="s">
        <x:v>36</x:v>
      </x:c>
      <x:c r="L41" s="240" t="s">
        <x:v>225</x:v>
      </x:c>
      <x:c r="M41" s="326" t="str">
        <x:f>LOOKUP(W41,{1,2,3,4,5,6,7,8,9,10,11,12},{"4C","4B","4A","3C","3B","3A","2C","2B","2A","1C","1B","1A"})</x:f>
        <x:v>2A</x:v>
      </x:c>
      <x:c r="N41" s="28" t="s">
        <x:v>225</x:v>
      </x:c>
      <x:c r="O41" s="17" t="s">
        <x:v>36</x:v>
      </x:c>
      <x:c r="P41" s="66" t="s">
        <x:v>225</x:v>
      </x:c>
      <x:c r="Q41" s="28"/>
      <x:c r="R41" s="17" t="s">
        <x:v>223</x:v>
      </x:c>
      <x:c r="S41" s="35"/>
      <x:c r="T41" s="42"/>
      <x:c r="U41" s="23"/>
      <x:c r="W41" s="318">
        <x:f>(LOOKUP(J41,{"1A","1B","1C","2A","2B","2C","3A","3B","3C","4A","4B","4C"},{12,11,10,9,8,7,6,5,4,3,2,1})+LOOKUP(K41,{"1A","1B","1C","2A","2B","2C","3A","3B","3C","4A","4B","4C"},{12,11,10,9,8,7,6,5,4,3,2,1}))/2</x:f>
        <x:v>9</x:v>
      </x:c>
    </x:row>
    <x:row r="42" spans="1:23" customHeight="1">
      <x:c r="A42" s="73">
        <x:v>38</x:v>
      </x:c>
      <x:c r="B42" s="15" t="s">
        <x:v>382</x:v>
      </x:c>
      <x:c r="C42" s="15" t="s">
        <x:v>285</x:v>
      </x:c>
      <x:c r="D42" s="15" t="s">
        <x:v>173</x:v>
      </x:c>
      <x:c r="E42" s="15">
        <x:v>7</x:v>
      </x:c>
      <x:c r="F42" s="16" t="s">
        <x:v>170</x:v>
      </x:c>
      <x:c r="G42" s="15"/>
      <x:c r="H42" s="15" t="s">
        <x:v>267</x:v>
      </x:c>
      <x:c r="I42" s="29" t="s">
        <x:v>327</x:v>
      </x:c>
      <x:c r="J42" s="28" t="s">
        <x:v>225</x:v>
      </x:c>
      <x:c r="K42" s="17" t="s">
        <x:v>36</x:v>
      </x:c>
      <x:c r="L42" s="240" t="s">
        <x:v>225</x:v>
      </x:c>
      <x:c r="M42" s="326" t="str">
        <x:f>LOOKUP(W42,{1,2,3,4,5,6,7,8,9,10,11,12},{"4C","4B","4A","3C","3B","3A","2C","2B","2A","1C","1B","1A"})</x:f>
        <x:v>2A</x:v>
      </x:c>
      <x:c r="N42" s="28" t="s">
        <x:v>225</x:v>
      </x:c>
      <x:c r="O42" s="17" t="s">
        <x:v>36</x:v>
      </x:c>
      <x:c r="P42" s="66" t="s">
        <x:v>225</x:v>
      </x:c>
      <x:c r="Q42" s="28"/>
      <x:c r="R42" s="17" t="s">
        <x:v>223</x:v>
      </x:c>
      <x:c r="S42" s="35"/>
      <x:c r="T42" s="42"/>
      <x:c r="U42" s="23"/>
      <x:c r="W42" s="318">
        <x:f>(LOOKUP(J42,{"1A","1B","1C","2A","2B","2C","3A","3B","3C","4A","4B","4C"},{12,11,10,9,8,7,6,5,4,3,2,1})+LOOKUP(K42,{"1A","1B","1C","2A","2B","2C","3A","3B","3C","4A","4B","4C"},{12,11,10,9,8,7,6,5,4,3,2,1}))/2</x:f>
        <x:v>9</x:v>
      </x:c>
    </x:row>
    <x:row r="43" spans="1:23" customHeight="1">
      <x:c r="A43" s="73">
        <x:v>39</x:v>
      </x:c>
      <x:c r="B43" s="15" t="s">
        <x:v>382</x:v>
      </x:c>
      <x:c r="C43" s="15" t="s">
        <x:v>285</x:v>
      </x:c>
      <x:c r="D43" s="15" t="s">
        <x:v>173</x:v>
      </x:c>
      <x:c r="E43" s="15">
        <x:v>7</x:v>
      </x:c>
      <x:c r="F43" s="16" t="s">
        <x:v>146</x:v>
      </x:c>
      <x:c r="G43" s="15"/>
      <x:c r="H43" s="15" t="s">
        <x:v>267</x:v>
      </x:c>
      <x:c r="I43" s="29" t="s">
        <x:v>327</x:v>
      </x:c>
      <x:c r="J43" s="28" t="s">
        <x:v>162</x:v>
      </x:c>
      <x:c r="K43" s="17" t="s">
        <x:v>238</x:v>
      </x:c>
      <x:c r="L43" s="240" t="s">
        <x:v>162</x:v>
      </x:c>
      <x:c r="M43" s="326" t="str">
        <x:f>LOOKUP(W43,{1,2,3,4,5,6,7,8,9,10,11,12},{"4C","4B","4A","3C","3B","3A","2C","2B","2A","1C","1B","1A"})</x:f>
        <x:v>3A</x:v>
      </x:c>
      <x:c r="N43" s="28" t="s">
        <x:v>162</x:v>
      </x:c>
      <x:c r="O43" s="17" t="s">
        <x:v>238</x:v>
      </x:c>
      <x:c r="P43" s="66" t="s">
        <x:v>162</x:v>
      </x:c>
      <x:c r="Q43" s="28" t="s">
        <x:v>225</x:v>
      </x:c>
      <x:c r="R43" s="17" t="s">
        <x:v>238</x:v>
      </x:c>
      <x:c r="S43" s="35"/>
      <x:c r="T43" s="42"/>
      <x:c r="U43" s="23"/>
      <x:c r="W43" s="318">
        <x:f>(LOOKUP(J43,{"1A","1B","1C","2A","2B","2C","3A","3B","3C","4A","4B","4C"},{12,11,10,9,8,7,6,5,4,3,2,1})+LOOKUP(K43,{"1A","1B","1C","2A","2B","2C","3A","3B","3C","4A","4B","4C"},{12,11,10,9,8,7,6,5,4,3,2,1}))/2</x:f>
        <x:v>6</x:v>
      </x:c>
    </x:row>
    <x:row r="44" spans="1:23" customHeight="1">
      <x:c r="A44" s="73">
        <x:v>40</x:v>
      </x:c>
      <x:c r="B44" s="15" t="s">
        <x:v>382</x:v>
      </x:c>
      <x:c r="C44" s="15" t="s">
        <x:v>359</x:v>
      </x:c>
      <x:c r="D44" s="15" t="s">
        <x:v>173</x:v>
      </x:c>
      <x:c r="E44" s="15">
        <x:v>7</x:v>
      </x:c>
      <x:c r="F44" s="16" t="s">
        <x:v>211</x:v>
      </x:c>
      <x:c r="G44" s="15"/>
      <x:c r="H44" s="15" t="s">
        <x:v>267</x:v>
      </x:c>
      <x:c r="I44" s="29" t="s">
        <x:v>325</x:v>
      </x:c>
      <x:c r="J44" s="28" t="s">
        <x:v>238</x:v>
      </x:c>
      <x:c r="K44" s="17" t="s">
        <x:v>223</x:v>
      </x:c>
      <x:c r="L44" s="240" t="s">
        <x:v>223</x:v>
      </x:c>
      <x:c r="M44" s="326" t="str">
        <x:f>LOOKUP(W44,{1,2,3,4,5,6,7,8,9,10,11,12},{"4C","4B","4A","3C","3B","3A","2C","2B","2A","1C","1B","1A"})</x:f>
        <x:v>3C</x:v>
      </x:c>
      <x:c r="N44" s="28" t="s">
        <x:v>238</x:v>
      </x:c>
      <x:c r="O44" s="17" t="s">
        <x:v>223</x:v>
      </x:c>
      <x:c r="P44" s="66" t="s">
        <x:v>223</x:v>
      </x:c>
      <x:c r="Q44" s="28"/>
      <x:c r="R44" s="17" t="s">
        <x:v>225</x:v>
      </x:c>
      <x:c r="S44" s="35"/>
      <x:c r="T44" s="42"/>
      <x:c r="U44" s="23"/>
      <x:c r="W44" s="318">
        <x:f>(LOOKUP(J44,{"1A","1B","1C","2A","2B","2C","3A","3B","3C","4A","4B","4C"},{12,11,10,9,8,7,6,5,4,3,2,1})+LOOKUP(K44,{"1A","1B","1C","2A","2B","2C","3A","3B","3C","4A","4B","4C"},{12,11,10,9,8,7,6,5,4,3,2,1}))/2</x:f>
        <x:v>4.5</x:v>
      </x:c>
    </x:row>
    <x:row r="45" spans="1:23" customHeight="1">
      <x:c r="A45" s="73">
        <x:v>41</x:v>
      </x:c>
      <x:c r="B45" s="15" t="s">
        <x:v>382</x:v>
      </x:c>
      <x:c r="C45" s="15" t="s">
        <x:v>359</x:v>
      </x:c>
      <x:c r="D45" s="15" t="s">
        <x:v>173</x:v>
      </x:c>
      <x:c r="E45" s="15">
        <x:v>8</x:v>
      </x:c>
      <x:c r="F45" s="16" t="s">
        <x:v>144</x:v>
      </x:c>
      <x:c r="G45" s="15"/>
      <x:c r="H45" s="15" t="s">
        <x:v>267</x:v>
      </x:c>
      <x:c r="I45" s="29" t="s">
        <x:v>325</x:v>
      </x:c>
      <x:c r="J45" s="28" t="s">
        <x:v>223</x:v>
      </x:c>
      <x:c r="K45" s="17" t="s">
        <x:v>238</x:v>
      </x:c>
      <x:c r="L45" s="240" t="s">
        <x:v>223</x:v>
      </x:c>
      <x:c r="M45" s="326" t="str">
        <x:f>LOOKUP(W45,{1,2,3,4,5,6,7,8,9,10,11,12},{"4C","4B","4A","3C","3B","3A","2C","2B","2A","1C","1B","1A"})</x:f>
        <x:v>3C</x:v>
      </x:c>
      <x:c r="N45" s="28" t="s">
        <x:v>223</x:v>
      </x:c>
      <x:c r="O45" s="17" t="s">
        <x:v>238</x:v>
      </x:c>
      <x:c r="P45" s="66" t="s">
        <x:v>223</x:v>
      </x:c>
      <x:c r="Q45" s="28" t="s">
        <x:v>215</x:v>
      </x:c>
      <x:c r="R45" s="17"/>
      <x:c r="S45" s="35"/>
      <x:c r="T45" s="42"/>
      <x:c r="U45" s="23"/>
      <x:c r="W45" s="318">
        <x:f>(LOOKUP(J45,{"1A","1B","1C","2A","2B","2C","3A","3B","3C","4A","4B","4C"},{12,11,10,9,8,7,6,5,4,3,2,1})+LOOKUP(K45,{"1A","1B","1C","2A","2B","2C","3A","3B","3C","4A","4B","4C"},{12,11,10,9,8,7,6,5,4,3,2,1}))/2</x:f>
        <x:v>4.5</x:v>
      </x:c>
    </x:row>
    <x:row r="46" spans="1:23" s="71" customFormat="1" customHeight="1">
      <x:c r="A46" s="73">
        <x:v>42</x:v>
      </x:c>
      <x:c r="B46" s="16" t="s">
        <x:v>382</x:v>
      </x:c>
      <x:c r="C46" s="16" t="s">
        <x:v>285</x:v>
      </x:c>
      <x:c r="D46" s="16" t="s">
        <x:v>173</x:v>
      </x:c>
      <x:c r="E46" s="16">
        <x:v>8</x:v>
      </x:c>
      <x:c r="F46" s="16" t="s">
        <x:v>152</x:v>
      </x:c>
      <x:c r="G46" s="16"/>
      <x:c r="H46" s="16" t="s">
        <x:v>267</x:v>
      </x:c>
      <x:c r="I46" s="29" t="s">
        <x:v>327</x:v>
      </x:c>
      <x:c r="J46" s="28" t="s">
        <x:v>223</x:v>
      </x:c>
      <x:c r="K46" s="17" t="s">
        <x:v>230</x:v>
      </x:c>
      <x:c r="L46" s="240" t="s">
        <x:v>223</x:v>
      </x:c>
      <x:c r="M46" s="326" t="str">
        <x:f>LOOKUP(W46,{1,2,3,4,5,6,7,8,9,10,11,12},{"4C","4B","4A","3C","3B","3A","2C","2B","2A","1C","1B","1A"})</x:f>
        <x:v>3B</x:v>
      </x:c>
      <x:c r="N46" s="28" t="s">
        <x:v>223</x:v>
      </x:c>
      <x:c r="O46" s="17" t="s">
        <x:v>230</x:v>
      </x:c>
      <x:c r="P46" s="66" t="s">
        <x:v>223</x:v>
      </x:c>
      <x:c r="Q46" s="28" t="s">
        <x:v>215</x:v>
      </x:c>
      <x:c r="R46" s="17"/>
      <x:c r="S46" s="35"/>
      <x:c r="T46" s="42"/>
      <x:c r="U46" s="140"/>
      <x:c r="V46" s="37"/>
      <x:c r="W46" s="318">
        <x:f>(LOOKUP(J46,{"1A","1B","1C","2A","2B","2C","3A","3B","3C","4A","4B","4C"},{12,11,10,9,8,7,6,5,4,3,2,1})+LOOKUP(K46,{"1A","1B","1C","2A","2B","2C","3A","3B","3C","4A","4B","4C"},{12,11,10,9,8,7,6,5,4,3,2,1}))/2</x:f>
        <x:v>5.5</x:v>
      </x:c>
    </x:row>
    <x:row r="47" spans="1:23" s="10" customFormat="1" customHeight="1">
      <x:c r="A47" s="73">
        <x:v>43</x:v>
      </x:c>
      <x:c r="B47" s="56" t="s">
        <x:v>382</x:v>
      </x:c>
      <x:c r="C47" s="56" t="s">
        <x:v>285</x:v>
      </x:c>
      <x:c r="D47" s="56" t="s">
        <x:v>173</x:v>
      </x:c>
      <x:c r="E47" s="56">
        <x:v>6</x:v>
      </x:c>
      <x:c r="F47" s="56" t="s">
        <x:v>105</x:v>
      </x:c>
      <x:c r="G47" s="56"/>
      <x:c r="H47" s="293" t="s">
        <x:v>267</x:v>
      </x:c>
      <x:c r="I47" s="35" t="s">
        <x:v>327</x:v>
      </x:c>
      <x:c r="J47" s="34" t="s">
        <x:v>238</x:v>
      </x:c>
      <x:c r="K47" s="21" t="s">
        <x:v>238</x:v>
      </x:c>
      <x:c r="L47" s="240" t="s">
        <x:v>238</x:v>
      </x:c>
      <x:c r="M47" s="326" t="str">
        <x:f>LOOKUP(W47,{1,2,3,4,5,6,7,8,9,10,11,12},{"4C","4B","4A","3C","3B","3A","2C","2B","2A","1C","1B","1A"})</x:f>
        <x:v>4C</x:v>
      </x:c>
      <x:c r="N47" s="34" t="s">
        <x:v>238</x:v>
      </x:c>
      <x:c r="O47" s="21" t="s">
        <x:v>238</x:v>
      </x:c>
      <x:c r="P47" s="83" t="s">
        <x:v>238</x:v>
      </x:c>
      <x:c r="Q47" s="34"/>
      <x:c r="R47" s="21" t="s">
        <x:v>36</x:v>
      </x:c>
      <x:c r="S47" s="35"/>
      <x:c r="T47" s="80"/>
      <x:c r="U47" s="111" t="s">
        <x:v>314</x:v>
      </x:c>
      <x:c r="V47" s="8"/>
      <x:c r="W47" s="318">
        <x:f>(LOOKUP(J47,{"1A","1B","1C","2A","2B","2C","3A","3B","3C","4A","4B","4C"},{12,11,10,9,8,7,6,5,4,3,2,1})+LOOKUP(K47,{"1A","1B","1C","2A","2B","2C","3A","3B","3C","4A","4B","4C"},{12,11,10,9,8,7,6,5,4,3,2,1}))/2</x:f>
        <x:v>1</x:v>
      </x:c>
    </x:row>
    <x:row r="48" spans="1:23" customHeight="1">
      <x:c r="A48" s="73">
        <x:v>44</x:v>
      </x:c>
      <x:c r="B48" s="15" t="s">
        <x:v>382</x:v>
      </x:c>
      <x:c r="C48" s="15" t="s">
        <x:v>349</x:v>
      </x:c>
      <x:c r="D48" s="15" t="s">
        <x:v>173</x:v>
      </x:c>
      <x:c r="E48" s="15">
        <x:v>8</x:v>
      </x:c>
      <x:c r="F48" s="16" t="s">
        <x:v>149</x:v>
      </x:c>
      <x:c r="G48" s="15"/>
      <x:c r="H48" s="15" t="s">
        <x:v>267</x:v>
      </x:c>
      <x:c r="I48" s="29" t="s">
        <x:v>325</x:v>
      </x:c>
      <x:c r="J48" s="28" t="s">
        <x:v>238</x:v>
      </x:c>
      <x:c r="K48" s="17" t="s">
        <x:v>36</x:v>
      </x:c>
      <x:c r="L48" s="240" t="s">
        <x:v>36</x:v>
      </x:c>
      <x:c r="M48" s="326" t="str">
        <x:f>LOOKUP(W48,{1,2,3,4,5,6,7,8,9,10,11,12},{"4C","4B","4A","3C","3B","3A","2C","2B","2A","1C","1B","1A"})</x:f>
        <x:v>4A</x:v>
      </x:c>
      <x:c r="N48" s="28" t="s">
        <x:v>238</x:v>
      </x:c>
      <x:c r="O48" s="17" t="s">
        <x:v>36</x:v>
      </x:c>
      <x:c r="P48" s="66" t="s">
        <x:v>36</x:v>
      </x:c>
      <x:c r="Q48" s="28"/>
      <x:c r="R48" s="17" t="s">
        <x:v>158</x:v>
      </x:c>
      <x:c r="S48" s="35"/>
      <x:c r="T48" s="42"/>
      <x:c r="U48" s="23"/>
      <x:c r="W48" s="318">
        <x:f>(LOOKUP(J48,{"1A","1B","1C","2A","2B","2C","3A","3B","3C","4A","4B","4C"},{12,11,10,9,8,7,6,5,4,3,2,1})+LOOKUP(K48,{"1A","1B","1C","2A","2B","2C","3A","3B","3C","4A","4B","4C"},{12,11,10,9,8,7,6,5,4,3,2,1}))/2</x:f>
        <x:v>3.5</x:v>
      </x:c>
    </x:row>
    <x:row r="49" spans="1:23" s="71" customFormat="1" customHeight="1">
      <x:c r="A49" s="73">
        <x:v>45</x:v>
      </x:c>
      <x:c r="B49" s="104" t="s">
        <x:v>382</x:v>
      </x:c>
      <x:c r="C49" s="104" t="s">
        <x:v>285</x:v>
      </x:c>
      <x:c r="D49" s="104" t="s">
        <x:v>277</x:v>
      </x:c>
      <x:c r="E49" s="104">
        <x:v>8</x:v>
      </x:c>
      <x:c r="F49" s="104" t="s">
        <x:v>270</x:v>
      </x:c>
      <x:c r="G49" s="104"/>
      <x:c r="H49" s="104" t="s">
        <x:v>267</x:v>
      </x:c>
      <x:c r="I49" s="283" t="s">
        <x:v>327</x:v>
      </x:c>
      <x:c r="J49" s="284"/>
      <x:c r="K49" s="285"/>
      <x:c r="L49" s="240"/>
      <x:c r="M49" s="326"/>
      <x:c r="N49" s="284"/>
      <x:c r="O49" s="285"/>
      <x:c r="P49" s="286"/>
      <x:c r="Q49" s="284"/>
      <x:c r="R49" s="285"/>
      <x:c r="S49" s="283"/>
      <x:c r="T49" s="287"/>
      <x:c r="U49" s="105" t="s">
        <x:v>245</x:v>
      </x:c>
      <x:c r="V49" s="37"/>
      <x:c r="W49" s="318" t="e">
        <x:f>(LOOKUP(J49,{"1A","1B","1C","2A","2B","2C","3A","3B","3C","4A","4B","4C"},{12,11,10,9,8,7,6,5,4,3,2,1})+LOOKUP(K49,{"1A","1B","1C","2A","2B","2C","3A","3B","3C","4A","4B","4C"},{12,11,10,9,8,7,6,5,4,3,2,1}))/2</x:f>
        <x:v>#N/A</x:v>
      </x:c>
    </x:row>
    <x:row r="50" spans="1:23" customHeight="1">
      <x:c r="A50" s="73">
        <x:v>46</x:v>
      </x:c>
      <x:c r="B50" s="86" t="s">
        <x:v>382</x:v>
      </x:c>
      <x:c r="C50" s="86" t="s">
        <x:v>285</x:v>
      </x:c>
      <x:c r="D50" s="86" t="s">
        <x:v>171</x:v>
      </x:c>
      <x:c r="E50" s="86">
        <x:v>8</x:v>
      </x:c>
      <x:c r="F50" s="86" t="s">
        <x:v>143</x:v>
      </x:c>
      <x:c r="G50" s="86"/>
      <x:c r="H50" s="86" t="s">
        <x:v>267</x:v>
      </x:c>
      <x:c r="I50" s="90" t="s">
        <x:v>327</x:v>
      </x:c>
      <x:c r="J50" s="88" t="s">
        <x:v>158</x:v>
      </x:c>
      <x:c r="K50" s="89" t="s">
        <x:v>238</x:v>
      </x:c>
      <x:c r="L50" s="240" t="s">
        <x:v>158</x:v>
      </x:c>
      <x:c r="M50" s="326" t="str">
        <x:f>LOOKUP(W50,{1,2,3,4,5,6,7,8,9,10,11,12},{"4C","4B","4A","3C","3B","3A","2C","2B","2A","1C","1B","1A"})</x:f>
        <x:v>3B</x:v>
      </x:c>
      <x:c r="N50" s="88" t="s">
        <x:v>158</x:v>
      </x:c>
      <x:c r="O50" s="89" t="s">
        <x:v>238</x:v>
      </x:c>
      <x:c r="P50" s="262" t="s">
        <x:v>158</x:v>
      </x:c>
      <x:c r="Q50" s="88" t="s">
        <x:v>215</x:v>
      </x:c>
      <x:c r="R50" s="89"/>
      <x:c r="S50" s="90"/>
      <x:c r="T50" s="223"/>
      <x:c r="U50" s="225" t="s">
        <x:v>8</x:v>
      </x:c>
      <x:c r="W50" s="318">
        <x:f>(LOOKUP(J50,{"1A","1B","1C","2A","2B","2C","3A","3B","3C","4A","4B","4C"},{12,11,10,9,8,7,6,5,4,3,2,1})+LOOKUP(K50,{"1A","1B","1C","2A","2B","2C","3A","3B","3C","4A","4B","4C"},{12,11,10,9,8,7,6,5,4,3,2,1}))/2</x:f>
        <x:v>5</x:v>
      </x:c>
    </x:row>
    <x:row r="51" spans="1:23" s="8" customFormat="1" customHeight="1">
      <x:c r="A51" s="73">
        <x:v>47</x:v>
      </x:c>
      <x:c r="B51" s="16" t="s">
        <x:v>382</x:v>
      </x:c>
      <x:c r="C51" s="16" t="s">
        <x:v>349</x:v>
      </x:c>
      <x:c r="D51" s="218" t="s">
        <x:v>171</x:v>
      </x:c>
      <x:c r="E51" s="16">
        <x:v>8</x:v>
      </x:c>
      <x:c r="F51" s="218" t="s">
        <x:v>122</x:v>
      </x:c>
      <x:c r="G51" s="16"/>
      <x:c r="H51" s="218" t="s">
        <x:v>267</x:v>
      </x:c>
      <x:c r="I51" s="219" t="s">
        <x:v>325</x:v>
      </x:c>
      <x:c r="J51" s="28" t="s">
        <x:v>238</x:v>
      </x:c>
      <x:c r="K51" s="17" t="s">
        <x:v>36</x:v>
      </x:c>
      <x:c r="L51" s="240" t="s">
        <x:v>36</x:v>
      </x:c>
      <x:c r="M51" s="326" t="str">
        <x:f>LOOKUP(W51,{1,2,3,4,5,6,7,8,9,10,11,12},{"4C","4B","4A","3C","3B","3A","2C","2B","2A","1C","1B","1A"})</x:f>
        <x:v>4A</x:v>
      </x:c>
      <x:c r="N51" s="28" t="s">
        <x:v>238</x:v>
      </x:c>
      <x:c r="O51" s="17" t="s">
        <x:v>36</x:v>
      </x:c>
      <x:c r="P51" s="66" t="s">
        <x:v>36</x:v>
      </x:c>
      <x:c r="Q51" s="28"/>
      <x:c r="R51" s="17" t="s">
        <x:v>158</x:v>
      </x:c>
      <x:c r="S51" s="29"/>
      <x:c r="T51" s="42"/>
      <x:c r="U51" s="36"/>
      <x:c r="W51" s="318">
        <x:f>(LOOKUP(J51,{"1A","1B","1C","2A","2B","2C","3A","3B","3C","4A","4B","4C"},{12,11,10,9,8,7,6,5,4,3,2,1})+LOOKUP(K51,{"1A","1B","1C","2A","2B","2C","3A","3B","3C","4A","4B","4C"},{12,11,10,9,8,7,6,5,4,3,2,1}))/2</x:f>
        <x:v>3.5</x:v>
      </x:c>
    </x:row>
    <x:row r="52" spans="1:23" s="8" customFormat="1" customHeight="1">
      <x:c r="A52" s="73">
        <x:v>48</x:v>
      </x:c>
      <x:c r="B52" s="16" t="s">
        <x:v>382</x:v>
      </x:c>
      <x:c r="C52" s="16" t="s">
        <x:v>285</x:v>
      </x:c>
      <x:c r="D52" s="218" t="s">
        <x:v>167</x:v>
      </x:c>
      <x:c r="E52" s="16"/>
      <x:c r="F52" s="218" t="s">
        <x:v>166</x:v>
      </x:c>
      <x:c r="G52" s="15"/>
      <x:c r="H52" s="218" t="s">
        <x:v>267</x:v>
      </x:c>
      <x:c r="I52" s="219" t="s">
        <x:v>327</x:v>
      </x:c>
      <x:c r="J52" s="28" t="s">
        <x:v>238</x:v>
      </x:c>
      <x:c r="K52" s="17" t="s">
        <x:v>238</x:v>
      </x:c>
      <x:c r="L52" s="240" t="s">
        <x:v>238</x:v>
      </x:c>
      <x:c r="M52" s="326" t="str">
        <x:f>LOOKUP(W52,{1,2,3,4,5,6,7,8,9,10,11,12},{"4C","4B","4A","3C","3B","3A","2C","2B","2A","1C","1B","1A"})</x:f>
        <x:v>4C</x:v>
      </x:c>
      <x:c r="N52" s="28" t="s">
        <x:v>238</x:v>
      </x:c>
      <x:c r="O52" s="17" t="s">
        <x:v>238</x:v>
      </x:c>
      <x:c r="P52" s="66" t="s">
        <x:v>238</x:v>
      </x:c>
      <x:c r="Q52" s="28" t="s">
        <x:v>188</x:v>
      </x:c>
      <x:c r="R52" s="17"/>
      <x:c r="S52" s="35"/>
      <x:c r="T52" s="42"/>
      <x:c r="U52" s="36"/>
      <x:c r="W52" s="318">
        <x:f>(LOOKUP(J52,{"1A","1B","1C","2A","2B","2C","3A","3B","3C","4A","4B","4C"},{12,11,10,9,8,7,6,5,4,3,2,1})+LOOKUP(K52,{"1A","1B","1C","2A","2B","2C","3A","3B","3C","4A","4B","4C"},{12,11,10,9,8,7,6,5,4,3,2,1}))/2</x:f>
        <x:v>1</x:v>
      </x:c>
    </x:row>
    <x:row r="53" spans="1:23" s="201" customFormat="1" customHeight="1">
      <x:c r="A53" s="73">
        <x:v>49</x:v>
      </x:c>
      <x:c r="B53" s="249" t="s">
        <x:v>382</x:v>
      </x:c>
      <x:c r="C53" s="249" t="s">
        <x:v>349</x:v>
      </x:c>
      <x:c r="D53" s="249" t="s">
        <x:v>167</x:v>
      </x:c>
      <x:c r="E53" s="249"/>
      <x:c r="F53" s="249" t="s">
        <x:v>239</x:v>
      </x:c>
      <x:c r="G53" s="249"/>
      <x:c r="H53" s="249" t="s">
        <x:v>267</x:v>
      </x:c>
      <x:c r="I53" s="219" t="s">
        <x:v>325</x:v>
      </x:c>
      <x:c r="J53" s="251" t="s">
        <x:v>238</x:v>
      </x:c>
      <x:c r="K53" s="249" t="s">
        <x:v>238</x:v>
      </x:c>
      <x:c r="L53" s="373" t="s">
        <x:v>238</x:v>
      </x:c>
      <x:c r="M53" s="374" t="str">
        <x:f>LOOKUP(W53,{1,2,3,4,5,6,7,8,9,10,11,12},{"4C","4B","4A","3C","3B","3A","2C","2B","2A","1C","1B","1A"})</x:f>
        <x:v>4C</x:v>
      </x:c>
      <x:c r="N53" s="251" t="s">
        <x:v>238</x:v>
      </x:c>
      <x:c r="O53" s="249" t="s">
        <x:v>238</x:v>
      </x:c>
      <x:c r="P53" s="375" t="s">
        <x:v>238</x:v>
      </x:c>
      <x:c r="Q53" s="251"/>
      <x:c r="R53" s="249" t="s">
        <x:v>188</x:v>
      </x:c>
      <x:c r="S53" s="376"/>
      <x:c r="T53" s="186"/>
      <x:c r="U53" s="377"/>
      <x:c r="V53" s="37"/>
      <x:c r="W53" s="318">
        <x:f>(LOOKUP(J53,{"1A","1B","1C","2A","2B","2C","3A","3B","3C","4A","4B","4C"},{12,11,10,9,8,7,6,5,4,3,2,1})+LOOKUP(K53,{"1A","1B","1C","2A","2B","2C","3A","3B","3C","4A","4B","4C"},{12,11,10,9,8,7,6,5,4,3,2,1}))/2</x:f>
        <x:v>1</x:v>
      </x:c>
    </x:row>
    <x:row r="54" spans="1:23" s="37" customFormat="1" customHeight="1">
      <x:c r="A54" s="68">
        <x:v>50</x:v>
      </x:c>
      <x:c r="B54" s="379" t="s">
        <x:v>382</x:v>
      </x:c>
      <x:c r="C54" s="379" t="s">
        <x:v>359</x:v>
      </x:c>
      <x:c r="D54" s="379" t="s">
        <x:v>217</x:v>
      </x:c>
      <x:c r="E54" s="379"/>
      <x:c r="F54" s="379" t="s">
        <x:v>276</x:v>
      </x:c>
      <x:c r="G54" s="379"/>
      <x:c r="H54" s="381" t="s">
        <x:v>267</x:v>
      </x:c>
      <x:c r="I54" s="380" t="s">
        <x:v>358</x:v>
      </x:c>
      <x:c r="J54" s="387"/>
      <x:c r="K54" s="381"/>
      <x:c r="L54" s="389"/>
      <x:c r="M54" s="388"/>
      <x:c r="N54" s="379"/>
      <x:c r="O54" s="380"/>
      <x:c r="P54" s="382"/>
      <x:c r="Q54" s="383"/>
      <x:c r="R54" s="384"/>
      <x:c r="S54" s="385"/>
      <x:c r="T54" s="384"/>
      <x:c r="U54" s="385" t="s">
        <x:v>358</x:v>
      </x:c>
      <x:c r="W54" s="318" t="e">
        <x:f>(LOOKUP(J54,{"1A","1B","1C","2A","2B","2C","3A","3B","3C","4A","4B","4C"},{12,11,10,9,8,7,6,5,4,3,2,1})+LOOKUP(K54,{"1A","1B","1C","2A","2B","2C","3A","3B","3C","4A","4B","4C"},{12,11,10,9,8,7,6,5,4,3,2,1}))/2</x:f>
        <x:v>#N/A</x:v>
      </x:c>
    </x:row>
    <x:row r="55" spans="1:23" ht="14.59999999999999964473">
      <x:c r="A55" s="378"/>
      <x:c r="T55" s="24"/>
      <x:c r="U55" s="139"/>
      <x:c r="W55" s="314"/>
    </x:row>
    <x:row r="56" spans="20:24">
      <x:c r="T56" s="24"/>
      <x:c r="W56" s="371" t="e">
        <x:f>SUM(#REF!,#REF!)</x:f>
        <x:v>#REF!</x:v>
      </x:c>
      <x:c r="X56" s="372" t="e">
        <x:f>SUM(#REF!,#REF!)</x:f>
        <x:v>#REF!</x:v>
      </x:c>
    </x:row>
  </x:sheetData>
  <x:autoFilter ref="A3:I55"/>
  <x:mergeCells count="15">
    <x:mergeCell ref="A1:U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M3"/>
    <x:mergeCell ref="N3:P3"/>
    <x:mergeCell ref="Q3:S3"/>
    <x:mergeCell ref="T3:T4"/>
    <x:mergeCell ref="U3:U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X39"/>
  <x:sheetViews>
    <x:sheetView topLeftCell="A13" zoomScaleNormal="75" zoomScaleSheetLayoutView="100" workbookViewId="0">
      <x:pane xSplit="8" ySplit="0" topLeftCell="I13" activePane="topRight" state="frozen"/>
      <x:selection pane="topRight" activeCell="A37" activeCellId="0" sqref="A37:XFD49"/>
    </x:sheetView>
  </x:sheetViews>
  <x:sheetFormatPr defaultColWidth="8.88671875" defaultRowHeight="14.19999999999999928946"/>
  <x:cols>
    <x:col min="1" max="1" width="4.34765625" style="98" bestFit="1" customWidth="1"/>
    <x:col min="2" max="2" width="17.77734375" style="20" customWidth="1"/>
    <x:col min="3" max="3" width="15.5546875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0" style="20" hidden="1" customWidth="1"/>
    <x:col min="11" max="11" width="5.91796875" style="20" bestFit="1" customWidth="1"/>
    <x:col min="12" max="12" width="8.29296875" style="20" bestFit="1" customWidth="1"/>
    <x:col min="13" max="14" width="9.51953125" style="20" bestFit="1" customWidth="1"/>
    <x:col min="15" max="15" width="5.91796875" style="20" bestFit="1" customWidth="1"/>
    <x:col min="16" max="16" width="8.29296875" style="20" bestFit="1" customWidth="1"/>
    <x:col min="17" max="17" width="5.91796875" style="20" bestFit="1" customWidth="1"/>
    <x:col min="18" max="18" width="7.40625" style="41" bestFit="1" customWidth="1"/>
    <x:col min="19" max="19" width="8.29296875" style="41" bestFit="1" customWidth="1"/>
    <x:col min="20" max="20" width="7.40625" style="41" bestFit="1" customWidth="1"/>
    <x:col min="21" max="21" width="8.88671875" style="27"/>
    <x:col min="22" max="22" width="18.22265625" style="7" bestFit="1" customWidth="1"/>
    <x:col min="23" max="24" width="8.88671875" style="2" bestFit="1" customWidth="1"/>
  </x:cols>
  <x:sheetData>
    <x:row r="1" spans="1:21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  <x:c r="U1" s="441"/>
    </x:row>
    <x:row r="2" spans="1:21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  <x:c r="U2" s="441"/>
    </x:row>
    <x:row r="3" spans="1:21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255"/>
      <x:c r="K3" s="470" t="s">
        <x:v>334</x:v>
      </x:c>
      <x:c r="L3" s="471"/>
      <x:c r="M3" s="472"/>
      <x:c r="N3" s="473"/>
      <x:c r="O3" s="470" t="s">
        <x:v>332</x:v>
      </x:c>
      <x:c r="P3" s="471"/>
      <x:c r="Q3" s="473"/>
      <x:c r="R3" s="467" t="s">
        <x:v>328</x:v>
      </x:c>
      <x:c r="S3" s="468"/>
      <x:c r="T3" s="469"/>
      <x:c r="U3" s="474" t="s">
        <x:v>348</x:v>
      </x:c>
    </x:row>
    <x:row r="4" spans="1:23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256"/>
      <x:c r="K4" s="119" t="s">
        <x:v>160</x:v>
      </x:c>
      <x:c r="L4" s="120" t="s">
        <x:v>381</x:v>
      </x:c>
      <x:c r="M4" s="76" t="s">
        <x:v>363</x:v>
      </x:c>
      <x:c r="N4" s="324" t="s">
        <x:v>354</x:v>
      </x:c>
      <x:c r="O4" s="119" t="s">
        <x:v>160</x:v>
      </x:c>
      <x:c r="P4" s="120" t="s">
        <x:v>381</x:v>
      </x:c>
      <x:c r="Q4" s="121" t="s">
        <x:v>192</x:v>
      </x:c>
      <x:c r="R4" s="74" t="s">
        <x:v>160</x:v>
      </x:c>
      <x:c r="S4" s="75" t="s">
        <x:v>381</x:v>
      </x:c>
      <x:c r="T4" s="76" t="s">
        <x:v>192</x:v>
      </x:c>
      <x:c r="U4" s="475"/>
      <x:c r="W4" s="317" t="s">
        <x:v>291</x:v>
      </x:c>
    </x:row>
    <x:row r="5" spans="1:23" customHeight="1">
      <x:c r="A5" s="73">
        <x:v>1</x:v>
      </x:c>
      <x:c r="B5" s="59" t="s">
        <x:v>383</x:v>
      </x:c>
      <x:c r="C5" s="54" t="s">
        <x:v>252</x:v>
      </x:c>
      <x:c r="D5" s="54" t="s">
        <x:v>246</x:v>
      </x:c>
      <x:c r="E5" s="16"/>
      <x:c r="F5" s="54" t="s">
        <x:v>17</x:v>
      </x:c>
      <x:c r="G5" s="47"/>
      <x:c r="H5" s="54" t="s">
        <x:v>272</x:v>
      </x:c>
      <x:c r="I5" s="57" t="s">
        <x:v>337</x:v>
      </x:c>
      <x:c r="J5" s="257"/>
      <x:c r="K5" s="124" t="s">
        <x:v>225</x:v>
      </x:c>
      <x:c r="L5" s="107" t="s">
        <x:v>225</x:v>
      </x:c>
      <x:c r="M5" s="320" t="s">
        <x:v>225</x:v>
      </x:c>
      <x:c r="N5" s="325" t="str">
        <x:f>LOOKUP(W5,{1,2,3,4,5,6,7,8,9,10,11,12},{"4C","4B","4A","3C","3B","3A","2C","2B","2A","1C","1B","1A"})</x:f>
        <x:v>1A</x:v>
      </x:c>
      <x:c r="O5" s="124" t="s">
        <x:v>225</x:v>
      </x:c>
      <x:c r="P5" s="93" t="s">
        <x:v>225</x:v>
      </x:c>
      <x:c r="Q5" s="58" t="s">
        <x:v>225</x:v>
      </x:c>
      <x:c r="R5" s="28"/>
      <x:c r="S5" s="17"/>
      <x:c r="T5" s="29"/>
      <x:c r="U5" s="40" t="s">
        <x:v>350</x:v>
      </x:c>
      <x:c r="W5" s="318">
        <x:f>(LOOKUP(K5,{"1A","1B","1C","2A","2B","2C","3A","3B","3C","4A","4B","4C"},{12,11,10,9,8,7,6,5,4,3,2,1})+LOOKUP(L5,{"1A","1B","1C","2A","2B","2C","3A","3B","3C","4A","4B","4C"},{12,11,10,9,8,7,6,5,4,3,2,1}))/2</x:f>
        <x:v>12</x:v>
      </x:c>
    </x:row>
    <x:row r="6" spans="1:23" s="14" customFormat="1" customHeight="1">
      <x:c r="A6" s="64">
        <x:v>2</x:v>
      </x:c>
      <x:c r="B6" s="56" t="s">
        <x:v>383</x:v>
      </x:c>
      <x:c r="C6" s="56" t="s">
        <x:v>381</x:v>
      </x:c>
      <x:c r="D6" s="56" t="s">
        <x:v>248</x:v>
      </x:c>
      <x:c r="E6" s="56"/>
      <x:c r="F6" s="56" t="s">
        <x:v>137</x:v>
      </x:c>
      <x:c r="G6" s="56"/>
      <x:c r="H6" s="56" t="s">
        <x:v>267</x:v>
      </x:c>
      <x:c r="I6" s="273" t="s">
        <x:v>325</x:v>
      </x:c>
      <x:c r="J6" s="294"/>
      <x:c r="K6" s="34" t="s">
        <x:v>225</x:v>
      </x:c>
      <x:c r="L6" s="21" t="s">
        <x:v>225</x:v>
      </x:c>
      <x:c r="M6" s="240" t="s">
        <x:v>225</x:v>
      </x:c>
      <x:c r="N6" s="326" t="str">
        <x:f>LOOKUP(W6,{1,2,3,4,5,6,7,8,9,10,11,12},{"4C","4B","4A","3C","3B","3A","2C","2B","2A","1C","1B","1A"})</x:f>
        <x:v>1A</x:v>
      </x:c>
      <x:c r="O6" s="34" t="s">
        <x:v>225</x:v>
      </x:c>
      <x:c r="P6" s="21" t="s">
        <x:v>225</x:v>
      </x:c>
      <x:c r="Q6" s="83" t="s">
        <x:v>225</x:v>
      </x:c>
      <x:c r="R6" s="34"/>
      <x:c r="S6" s="21"/>
      <x:c r="T6" s="35"/>
      <x:c r="U6" s="35" t="s">
        <x:v>350</x:v>
      </x:c>
      <x:c r="W6" s="318">
        <x:f>(LOOKUP(K6,{"1A","1B","1C","2A","2B","2C","3A","3B","3C","4A","4B","4C"},{12,11,10,9,8,7,6,5,4,3,2,1})+LOOKUP(L6,{"1A","1B","1C","2A","2B","2C","3A","3B","3C","4A","4B","4C"},{12,11,10,9,8,7,6,5,4,3,2,1}))/2</x:f>
        <x:v>12</x:v>
      </x:c>
    </x:row>
    <x:row r="7" spans="1:23" s="14" customFormat="1" customHeight="1">
      <x:c r="A7" s="97">
        <x:v>3</x:v>
      </x:c>
      <x:c r="B7" s="15" t="s">
        <x:v>383</x:v>
      </x:c>
      <x:c r="C7" s="15" t="s">
        <x:v>285</x:v>
      </x:c>
      <x:c r="D7" s="15" t="s">
        <x:v>168</x:v>
      </x:c>
      <x:c r="E7" s="15"/>
      <x:c r="F7" s="16" t="s">
        <x:v>95</x:v>
      </x:c>
      <x:c r="G7" s="15"/>
      <x:c r="H7" s="15" t="s">
        <x:v>267</x:v>
      </x:c>
      <x:c r="I7" s="45" t="s">
        <x:v>327</x:v>
      </x:c>
      <x:c r="J7" s="258"/>
      <x:c r="K7" s="28" t="s">
        <x:v>36</x:v>
      </x:c>
      <x:c r="L7" s="17" t="s">
        <x:v>162</x:v>
      </x:c>
      <x:c r="M7" s="240" t="s">
        <x:v>162</x:v>
      </x:c>
      <x:c r="N7" s="326" t="str">
        <x:f>LOOKUP(W7,{1,2,3,4,5,6,7,8,9,10,11,12},{"4C","4B","4A","3C","3B","3A","2C","2B","2A","1C","1B","1A"})</x:f>
        <x:v>2B</x:v>
      </x:c>
      <x:c r="O7" s="28" t="s">
        <x:v>36</x:v>
      </x:c>
      <x:c r="P7" s="17" t="s">
        <x:v>162</x:v>
      </x:c>
      <x:c r="Q7" s="66" t="s">
        <x:v>162</x:v>
      </x:c>
      <x:c r="R7" s="17" t="s">
        <x:v>223</x:v>
      </x:c>
      <x:c r="S7" s="17"/>
      <x:c r="T7" s="29"/>
      <x:c r="U7" s="42"/>
      <x:c r="W7" s="318">
        <x:f>(LOOKUP(K7,{"1A","1B","1C","2A","2B","2C","3A","3B","3C","4A","4B","4C"},{12,11,10,9,8,7,6,5,4,3,2,1})+LOOKUP(L7,{"1A","1B","1C","2A","2B","2C","3A","3B","3C","4A","4B","4C"},{12,11,10,9,8,7,6,5,4,3,2,1}))/2</x:f>
        <x:v>8.5</x:v>
      </x:c>
    </x:row>
    <x:row r="8" spans="1:23" s="14" customFormat="1" customHeight="1">
      <x:c r="A8" s="64">
        <x:v>4</x:v>
      </x:c>
      <x:c r="B8" s="56" t="s">
        <x:v>383</x:v>
      </x:c>
      <x:c r="C8" s="56" t="s">
        <x:v>381</x:v>
      </x:c>
      <x:c r="D8" s="56" t="s">
        <x:v>168</x:v>
      </x:c>
      <x:c r="E8" s="56"/>
      <x:c r="F8" s="56" t="s">
        <x:v>57</x:v>
      </x:c>
      <x:c r="G8" s="56"/>
      <x:c r="H8" s="56" t="s">
        <x:v>267</x:v>
      </x:c>
      <x:c r="I8" s="273" t="s">
        <x:v>339</x:v>
      </x:c>
      <x:c r="J8" s="294"/>
      <x:c r="K8" s="34" t="s">
        <x:v>225</x:v>
      </x:c>
      <x:c r="L8" s="21" t="s">
        <x:v>225</x:v>
      </x:c>
      <x:c r="M8" s="329" t="s">
        <x:v>225</x:v>
      </x:c>
      <x:c r="N8" s="325" t="str">
        <x:f>LOOKUP(W8,{1,2,3,4,5,6,7,8,9,10,11,12},{"4C","4B","4A","3C","3B","3A","2C","2B","2A","1C","1B","1A"})</x:f>
        <x:v>1A</x:v>
      </x:c>
      <x:c r="O8" s="34" t="s">
        <x:v>225</x:v>
      </x:c>
      <x:c r="P8" s="21" t="s">
        <x:v>225</x:v>
      </x:c>
      <x:c r="Q8" s="295" t="s">
        <x:v>225</x:v>
      </x:c>
      <x:c r="R8" s="254"/>
      <x:c r="S8" s="253"/>
      <x:c r="T8" s="295"/>
      <x:c r="U8" s="80"/>
      <x:c r="W8" s="318">
        <x:f>(LOOKUP(K8,{"1A","1B","1C","2A","2B","2C","3A","3B","3C","4A","4B","4C"},{12,11,10,9,8,7,6,5,4,3,2,1})+LOOKUP(L8,{"1A","1B","1C","2A","2B","2C","3A","3B","3C","4A","4B","4C"},{12,11,10,9,8,7,6,5,4,3,2,1}))/2</x:f>
        <x:v>12</x:v>
      </x:c>
    </x:row>
    <x:row r="9" spans="1:23" s="8" customFormat="1" customHeight="1">
      <x:c r="A9" s="279"/>
      <x:c r="B9" s="86" t="s">
        <x:v>383</x:v>
      </x:c>
      <x:c r="C9" s="86" t="s">
        <x:v>381</x:v>
      </x:c>
      <x:c r="D9" s="86" t="s">
        <x:v>168</x:v>
      </x:c>
      <x:c r="E9" s="86"/>
      <x:c r="F9" s="86" t="s">
        <x:v>251</x:v>
      </x:c>
      <x:c r="G9" s="86"/>
      <x:c r="H9" s="86" t="s">
        <x:v>267</x:v>
      </x:c>
      <x:c r="I9" s="304" t="s">
        <x:v>325</x:v>
      </x:c>
      <x:c r="J9" s="305"/>
      <x:c r="K9" s="88"/>
      <x:c r="L9" s="89"/>
      <x:c r="M9" s="329"/>
      <x:c r="N9" s="326" t="e">
        <x:f>LOOKUP(W9,{1,2,3,4,5,6,7,8,9,10,11,12},{"4C","4B","4A","3C","3B","3A","2C","2B","2A","1C","1B","1A"})</x:f>
        <x:v>#N/A</x:v>
      </x:c>
      <x:c r="O9" s="88"/>
      <x:c r="P9" s="89"/>
      <x:c r="Q9" s="306"/>
      <x:c r="R9" s="280"/>
      <x:c r="S9" s="307"/>
      <x:c r="T9" s="306"/>
      <x:c r="U9" s="308"/>
      <x:c r="W9" s="318" t="e">
        <x:f>(LOOKUP(K9,{"1A","1B","1C","2A","2B","2C","3A","3B","3C","4A","4B","4C"},{12,11,10,9,8,7,6,5,4,3,2,1})+LOOKUP(L9,{"1A","1B","1C","2A","2B","2C","3A","3B","3C","4A","4B","4C"},{12,11,10,9,8,7,6,5,4,3,2,1}))/2</x:f>
        <x:v>#N/A</x:v>
      </x:c>
    </x:row>
    <x:row r="10" spans="1:23" s="14" customFormat="1" customHeight="1">
      <x:c r="A10" s="97">
        <x:v>5</x:v>
      </x:c>
      <x:c r="B10" s="15" t="s">
        <x:v>383</x:v>
      </x:c>
      <x:c r="C10" s="15" t="s">
        <x:v>285</x:v>
      </x:c>
      <x:c r="D10" s="15" t="s">
        <x:v>168</x:v>
      </x:c>
      <x:c r="E10" s="15"/>
      <x:c r="F10" s="16" t="s">
        <x:v>30</x:v>
      </x:c>
      <x:c r="G10" s="15"/>
      <x:c r="H10" s="15" t="s">
        <x:v>267</x:v>
      </x:c>
      <x:c r="I10" s="45" t="s">
        <x:v>339</x:v>
      </x:c>
      <x:c r="J10" s="258"/>
      <x:c r="K10" s="28" t="s">
        <x:v>225</x:v>
      </x:c>
      <x:c r="L10" s="17" t="s">
        <x:v>225</x:v>
      </x:c>
      <x:c r="M10" s="240" t="s">
        <x:v>225</x:v>
      </x:c>
      <x:c r="N10" s="326" t="str">
        <x:f>LOOKUP(W10,{1,2,3,4,5,6,7,8,9,10,11,12},{"4C","4B","4A","3C","3B","3A","2C","2B","2A","1C","1B","1A"})</x:f>
        <x:v>1A</x:v>
      </x:c>
      <x:c r="O10" s="28" t="s">
        <x:v>225</x:v>
      </x:c>
      <x:c r="P10" s="17" t="s">
        <x:v>225</x:v>
      </x:c>
      <x:c r="Q10" s="66" t="s">
        <x:v>225</x:v>
      </x:c>
      <x:c r="R10" s="33"/>
      <x:c r="S10" s="22"/>
      <x:c r="T10" s="32"/>
      <x:c r="U10" s="40" t="s">
        <x:v>350</x:v>
      </x:c>
      <x:c r="W10" s="318">
        <x:f>(LOOKUP(K10,{"1A","1B","1C","2A","2B","2C","3A","3B","3C","4A","4B","4C"},{12,11,10,9,8,7,6,5,4,3,2,1})+LOOKUP(L10,{"1A","1B","1C","2A","2B","2C","3A","3B","3C","4A","4B","4C"},{12,11,10,9,8,7,6,5,4,3,2,1}))/2</x:f>
        <x:v>12</x:v>
      </x:c>
    </x:row>
    <x:row r="11" spans="1:23" s="14" customFormat="1" customHeight="1">
      <x:c r="A11" s="73">
        <x:v>6</x:v>
      </x:c>
      <x:c r="B11" s="15" t="s">
        <x:v>383</x:v>
      </x:c>
      <x:c r="C11" s="15" t="s">
        <x:v>381</x:v>
      </x:c>
      <x:c r="D11" s="15" t="s">
        <x:v>168</x:v>
      </x:c>
      <x:c r="E11" s="15"/>
      <x:c r="F11" s="16" t="s">
        <x:v>123</x:v>
      </x:c>
      <x:c r="G11" s="15"/>
      <x:c r="H11" s="15" t="s">
        <x:v>267</x:v>
      </x:c>
      <x:c r="I11" s="45" t="s">
        <x:v>327</x:v>
      </x:c>
      <x:c r="J11" s="258"/>
      <x:c r="K11" s="28" t="s">
        <x:v>230</x:v>
      </x:c>
      <x:c r="L11" s="17" t="s">
        <x:v>225</x:v>
      </x:c>
      <x:c r="M11" s="240" t="s">
        <x:v>225</x:v>
      </x:c>
      <x:c r="N11" s="326" t="str">
        <x:f>LOOKUP(W11,{1,2,3,4,5,6,7,8,9,10,11,12},{"4C","4B","4A","3C","3B","3A","2C","2B","2A","1C","1B","1A"})</x:f>
        <x:v>2C</x:v>
      </x:c>
      <x:c r="O11" s="28" t="s">
        <x:v>230</x:v>
      </x:c>
      <x:c r="P11" s="17" t="s">
        <x:v>225</x:v>
      </x:c>
      <x:c r="Q11" s="66" t="s">
        <x:v>225</x:v>
      </x:c>
      <x:c r="R11" s="33" t="s">
        <x:v>175</x:v>
      </x:c>
      <x:c r="S11" s="22"/>
      <x:c r="T11" s="32"/>
      <x:c r="U11" s="42"/>
      <x:c r="W11" s="318">
        <x:f>(LOOKUP(K11,{"1A","1B","1C","2A","2B","2C","3A","3B","3C","4A","4B","4C"},{12,11,10,9,8,7,6,5,4,3,2,1})+LOOKUP(L11,{"1A","1B","1C","2A","2B","2C","3A","3B","3C","4A","4B","4C"},{12,11,10,9,8,7,6,5,4,3,2,1}))/2</x:f>
        <x:v>7.5</x:v>
      </x:c>
    </x:row>
    <x:row r="12" spans="1:23" s="14" customFormat="1" customHeight="1">
      <x:c r="A12" s="97">
        <x:v>7</x:v>
      </x:c>
      <x:c r="B12" s="15" t="s">
        <x:v>383</x:v>
      </x:c>
      <x:c r="C12" s="15" t="s">
        <x:v>285</x:v>
      </x:c>
      <x:c r="D12" s="15" t="s">
        <x:v>356</x:v>
      </x:c>
      <x:c r="E12" s="15"/>
      <x:c r="F12" s="16" t="s">
        <x:v>52</x:v>
      </x:c>
      <x:c r="G12" s="15"/>
      <x:c r="H12" s="16" t="s">
        <x:v>267</x:v>
      </x:c>
      <x:c r="I12" s="29" t="s">
        <x:v>339</x:v>
      </x:c>
      <x:c r="J12" s="191"/>
      <x:c r="K12" s="28" t="s">
        <x:v>225</x:v>
      </x:c>
      <x:c r="L12" s="17" t="s">
        <x:v>223</x:v>
      </x:c>
      <x:c r="M12" s="240" t="s">
        <x:v>225</x:v>
      </x:c>
      <x:c r="N12" s="326" t="str">
        <x:f>LOOKUP(W12,{1,2,3,4,5,6,7,8,9,10,11,12},{"4C","4B","4A","3C","3B","3A","2C","2B","2A","1C","1B","1A"})</x:f>
        <x:v>1C</x:v>
      </x:c>
      <x:c r="O12" s="28" t="s">
        <x:v>225</x:v>
      </x:c>
      <x:c r="P12" s="266" t="s">
        <x:v>158</x:v>
      </x:c>
      <x:c r="Q12" s="66" t="s">
        <x:v>225</x:v>
      </x:c>
      <x:c r="R12" s="33"/>
      <x:c r="S12" s="22" t="s">
        <x:v>158</x:v>
      </x:c>
      <x:c r="T12" s="32"/>
      <x:c r="U12" s="42"/>
      <x:c r="W12" s="318">
        <x:f>(LOOKUP(K12,{"1A","1B","1C","2A","2B","2C","3A","3B","3C","4A","4B","4C"},{12,11,10,9,8,7,6,5,4,3,2,1})+LOOKUP(L12,{"1A","1B","1C","2A","2B","2C","3A","3B","3C","4A","4B","4C"},{12,11,10,9,8,7,6,5,4,3,2,1}))/2</x:f>
        <x:v>10</x:v>
      </x:c>
    </x:row>
    <x:row r="13" spans="1:23" s="14" customFormat="1" customHeight="1">
      <x:c r="A13" s="73">
        <x:v>8</x:v>
      </x:c>
      <x:c r="B13" s="15" t="s">
        <x:v>383</x:v>
      </x:c>
      <x:c r="C13" s="15" t="s">
        <x:v>285</x:v>
      </x:c>
      <x:c r="D13" s="15" t="s">
        <x:v>210</x:v>
      </x:c>
      <x:c r="E13" s="15"/>
      <x:c r="F13" s="16" t="s">
        <x:v>47</x:v>
      </x:c>
      <x:c r="G13" s="15"/>
      <x:c r="H13" s="16" t="s">
        <x:v>267</x:v>
      </x:c>
      <x:c r="I13" s="29" t="s">
        <x:v>327</x:v>
      </x:c>
      <x:c r="J13" s="191"/>
      <x:c r="K13" s="28" t="s">
        <x:v>175</x:v>
      </x:c>
      <x:c r="L13" s="17" t="s">
        <x:v>230</x:v>
      </x:c>
      <x:c r="M13" s="246" t="s">
        <x:v>175</x:v>
      </x:c>
      <x:c r="N13" s="326" t="str">
        <x:f>LOOKUP(W13,{1,2,3,4,5,6,7,8,9,10,11,12},{"4C","4B","4A","3C","3B","3A","2C","2B","2A","1C","1B","1A"})</x:f>
        <x:v>3B</x:v>
      </x:c>
      <x:c r="O13" s="28" t="s">
        <x:v>175</x:v>
      </x:c>
      <x:c r="P13" s="17" t="s">
        <x:v>230</x:v>
      </x:c>
      <x:c r="Q13" s="70" t="s">
        <x:v>175</x:v>
      </x:c>
      <x:c r="R13" s="33" t="s">
        <x:v>158</x:v>
      </x:c>
      <x:c r="S13" s="22"/>
      <x:c r="T13" s="32"/>
      <x:c r="U13" s="42"/>
      <x:c r="W13" s="318">
        <x:f>(LOOKUP(K13,{"1A","1B","1C","2A","2B","2C","3A","3B","3C","4A","4B","4C"},{12,11,10,9,8,7,6,5,4,3,2,1})+LOOKUP(L13,{"1A","1B","1C","2A","2B","2C","3A","3B","3C","4A","4B","4C"},{12,11,10,9,8,7,6,5,4,3,2,1}))/2</x:f>
        <x:v>5</x:v>
      </x:c>
    </x:row>
    <x:row r="14" spans="1:23" s="14" customFormat="1" customHeight="1">
      <x:c r="A14" s="97">
        <x:v>9</x:v>
      </x:c>
      <x:c r="B14" s="16" t="s">
        <x:v>383</x:v>
      </x:c>
      <x:c r="C14" s="16" t="s">
        <x:v>285</x:v>
      </x:c>
      <x:c r="D14" s="16" t="s">
        <x:v>210</x:v>
      </x:c>
      <x:c r="E14" s="16"/>
      <x:c r="F14" s="16" t="s">
        <x:v>214</x:v>
      </x:c>
      <x:c r="G14" s="16"/>
      <x:c r="H14" s="16" t="s">
        <x:v>267</x:v>
      </x:c>
      <x:c r="I14" s="29" t="s">
        <x:v>327</x:v>
      </x:c>
      <x:c r="J14" s="191"/>
      <x:c r="K14" s="28" t="s">
        <x:v>238</x:v>
      </x:c>
      <x:c r="L14" s="17" t="s">
        <x:v>188</x:v>
      </x:c>
      <x:c r="M14" s="234" t="s">
        <x:v>191</x:v>
      </x:c>
      <x:c r="N14" s="326" t="str">
        <x:f>LOOKUP(W14,{1,2,3,4,5,6,7,8,9,10,11,12},{"4C","4B","4A","3C","3B","3A","2C","2B","2A","1C","1B","1A"})</x:f>
        <x:v>4A</x:v>
      </x:c>
      <x:c r="O14" s="28" t="s">
        <x:v>238</x:v>
      </x:c>
      <x:c r="P14" s="17" t="s">
        <x:v>188</x:v>
      </x:c>
      <x:c r="Q14" s="66" t="s">
        <x:v>188</x:v>
      </x:c>
      <x:c r="R14" s="33"/>
      <x:c r="S14" s="22" t="s">
        <x:v>36</x:v>
      </x:c>
      <x:c r="T14" s="32"/>
      <x:c r="U14" s="42"/>
      <x:c r="W14" s="318">
        <x:f>(LOOKUP(K14,{"1A","1B","1C","2A","2B","2C","3A","3B","3C","4A","4B","4C"},{12,11,10,9,8,7,6,5,4,3,2,1})+LOOKUP(L14,{"1A","1B","1C","2A","2B","2C","3A","3B","3C","4A","4B","4C"},{12,11,10,9,8,7,6,5,4,3,2,1}))/2</x:f>
        <x:v>3</x:v>
      </x:c>
    </x:row>
    <x:row r="15" spans="1:24" s="14" customFormat="1" customHeight="1">
      <x:c r="A15" s="73">
        <x:v>10</x:v>
      </x:c>
      <x:c r="B15" s="16" t="s">
        <x:v>383</x:v>
      </x:c>
      <x:c r="C15" s="16" t="s">
        <x:v>381</x:v>
      </x:c>
      <x:c r="D15" s="16" t="s">
        <x:v>210</x:v>
      </x:c>
      <x:c r="E15" s="16"/>
      <x:c r="F15" s="16" t="s">
        <x:v>96</x:v>
      </x:c>
      <x:c r="G15" s="16"/>
      <x:c r="H15" s="16" t="s">
        <x:v>267</x:v>
      </x:c>
      <x:c r="I15" s="29" t="s">
        <x:v>325</x:v>
      </x:c>
      <x:c r="J15" s="191"/>
      <x:c r="K15" s="31" t="s">
        <x:v>230</x:v>
      </x:c>
      <x:c r="L15" s="22" t="s">
        <x:v>230</x:v>
      </x:c>
      <x:c r="M15" s="330" t="s">
        <x:v>230</x:v>
      </x:c>
      <x:c r="N15" s="326" t="str">
        <x:f>LOOKUP(W15,{1,2,3,4,5,6,7,8,9,10,11,12},{"4C","4B","4A","3C","3B","3A","2C","2B","2A","1C","1B","1A"})</x:f>
        <x:v>4A</x:v>
      </x:c>
      <x:c r="O15" s="31" t="s">
        <x:v>230</x:v>
      </x:c>
      <x:c r="P15" s="367" t="s">
        <x:v>191</x:v>
      </x:c>
      <x:c r="Q15" s="366" t="s">
        <x:v>191</x:v>
      </x:c>
      <x:c r="R15" s="33"/>
      <x:c r="S15" s="22" t="s">
        <x:v>188</x:v>
      </x:c>
      <x:c r="T15" s="32"/>
      <x:c r="U15" s="42"/>
      <x:c r="W15" s="318">
        <x:f>(LOOKUP(K15,{"1A","1B","1C","2A","2B","2C","3A","3B","3C","4A","4B","4C"},{12,11,10,9,8,7,6,5,4,3,2,1})+LOOKUP(L15,{"1A","1B","1C","2A","2B","2C","3A","3B","3C","4A","4B","4C"},{12,11,10,9,8,7,6,5,4,3,2,1}))/2</x:f>
        <x:v>3</x:v>
      </x:c>
      <x:c r="X15" s="8" t="s">
        <x:v>307</x:v>
      </x:c>
    </x:row>
    <x:row r="16" spans="1:23" s="14" customFormat="1" customHeight="1">
      <x:c r="A16" s="97">
        <x:v>11</x:v>
      </x:c>
      <x:c r="B16" s="60" t="s">
        <x:v>383</x:v>
      </x:c>
      <x:c r="C16" s="61" t="s">
        <x:v>280</x:v>
      </x:c>
      <x:c r="D16" s="54" t="s">
        <x:v>179</x:v>
      </x:c>
      <x:c r="E16" s="15"/>
      <x:c r="F16" s="61" t="s">
        <x:v>63</x:v>
      </x:c>
      <x:c r="G16" s="15"/>
      <x:c r="H16" s="61" t="s">
        <x:v>272</x:v>
      </x:c>
      <x:c r="I16" s="58" t="s">
        <x:v>344</x:v>
      </x:c>
      <x:c r="J16" s="259"/>
      <x:c r="K16" s="127" t="s">
        <x:v>215</x:v>
      </x:c>
      <x:c r="L16" s="131" t="s">
        <x:v>175</x:v>
      </x:c>
      <x:c r="M16" s="320" t="s">
        <x:v>215</x:v>
      </x:c>
      <x:c r="N16" s="337" t="str">
        <x:f>LOOKUP(W16,{1,2,3,4,5,6,7,8,9,10,11,12},{"4C","4B","4A","3C","3B","3A","2C","2B","2A","1C","1B","1A"})</x:f>
        <x:v>2B</x:v>
      </x:c>
      <x:c r="O16" s="92" t="s">
        <x:v>215</x:v>
      </x:c>
      <x:c r="P16" s="93" t="s">
        <x:v>175</x:v>
      </x:c>
      <x:c r="Q16" s="58" t="s">
        <x:v>215</x:v>
      </x:c>
      <x:c r="R16" s="33"/>
      <x:c r="S16" s="22"/>
      <x:c r="T16" s="32"/>
      <x:c r="U16" s="42"/>
      <x:c r="W16" s="318">
        <x:f>(LOOKUP(K16,{"1A","1B","1C","2A","2B","2C","3A","3B","3C","4A","4B","4C"},{12,11,10,9,8,7,6,5,4,3,2,1})+LOOKUP(L16,{"1A","1B","1C","2A","2B","2C","3A","3B","3C","4A","4B","4C"},{12,11,10,9,8,7,6,5,4,3,2,1}))/2</x:f>
        <x:v>8.5</x:v>
      </x:c>
    </x:row>
    <x:row r="17" spans="1:23" s="14" customFormat="1" customHeight="1">
      <x:c r="A17" s="73">
        <x:v>12</x:v>
      </x:c>
      <x:c r="B17" s="60" t="s">
        <x:v>383</x:v>
      </x:c>
      <x:c r="C17" s="61" t="s">
        <x:v>280</x:v>
      </x:c>
      <x:c r="D17" s="61" t="s">
        <x:v>217</x:v>
      </x:c>
      <x:c r="E17" s="15"/>
      <x:c r="F17" s="61" t="s">
        <x:v>196</x:v>
      </x:c>
      <x:c r="G17" s="15"/>
      <x:c r="H17" s="61" t="s">
        <x:v>272</x:v>
      </x:c>
      <x:c r="I17" s="58" t="s">
        <x:v>366</x:v>
      </x:c>
      <x:c r="J17" s="259"/>
      <x:c r="K17" s="127" t="s">
        <x:v>225</x:v>
      </x:c>
      <x:c r="L17" s="131" t="s">
        <x:v>225</x:v>
      </x:c>
      <x:c r="M17" s="320" t="s">
        <x:v>225</x:v>
      </x:c>
      <x:c r="N17" s="337" t="str">
        <x:f>LOOKUP(W17,{1,2,3,4,5,6,7,8,9,10,11,12},{"4C","4B","4A","3C","3B","3A","2C","2B","2A","1C","1B","1A"})</x:f>
        <x:v>1A</x:v>
      </x:c>
      <x:c r="O17" s="92" t="s">
        <x:v>225</x:v>
      </x:c>
      <x:c r="P17" s="93" t="s">
        <x:v>225</x:v>
      </x:c>
      <x:c r="Q17" s="58" t="s">
        <x:v>225</x:v>
      </x:c>
      <x:c r="R17" s="31"/>
      <x:c r="S17" s="22"/>
      <x:c r="T17" s="32"/>
      <x:c r="U17" s="42"/>
      <x:c r="W17" s="318">
        <x:f>(LOOKUP(K17,{"1A","1B","1C","2A","2B","2C","3A","3B","3C","4A","4B","4C"},{12,11,10,9,8,7,6,5,4,3,2,1})+LOOKUP(L17,{"1A","1B","1C","2A","2B","2C","3A","3B","3C","4A","4B","4C"},{12,11,10,9,8,7,6,5,4,3,2,1}))/2</x:f>
        <x:v>12</x:v>
      </x:c>
    </x:row>
    <x:row r="18" spans="1:23" s="14" customFormat="1" customHeight="1">
      <x:c r="A18" s="97">
        <x:v>13</x:v>
      </x:c>
      <x:c r="B18" s="60" t="s">
        <x:v>383</x:v>
      </x:c>
      <x:c r="C18" s="61" t="s">
        <x:v>280</x:v>
      </x:c>
      <x:c r="D18" s="61" t="s">
        <x:v>171</x:v>
      </x:c>
      <x:c r="E18" s="15"/>
      <x:c r="F18" s="61" t="s">
        <x:v>25</x:v>
      </x:c>
      <x:c r="G18" s="15"/>
      <x:c r="H18" s="61" t="s">
        <x:v>272</x:v>
      </x:c>
      <x:c r="I18" s="58" t="s">
        <x:v>340</x:v>
      </x:c>
      <x:c r="J18" s="259"/>
      <x:c r="K18" s="92" t="s">
        <x:v>191</x:v>
      </x:c>
      <x:c r="L18" s="93" t="s">
        <x:v>238</x:v>
      </x:c>
      <x:c r="M18" s="320" t="s">
        <x:v>191</x:v>
      </x:c>
      <x:c r="N18" s="337" t="str">
        <x:f>LOOKUP(W18,{1,2,3,4,5,6,7,8,9,10,11,12},{"4C","4B","4A","3C","3B","3A","2C","2B","2A","1C","1B","1A"})</x:f>
        <x:v>4B</x:v>
      </x:c>
      <x:c r="O18" s="92" t="s">
        <x:v>191</x:v>
      </x:c>
      <x:c r="P18" s="93" t="s">
        <x:v>238</x:v>
      </x:c>
      <x:c r="Q18" s="58" t="s">
        <x:v>191</x:v>
      </x:c>
      <x:c r="R18" s="33"/>
      <x:c r="S18" s="313" t="s">
        <x:v>353</x:v>
      </x:c>
      <x:c r="T18" s="32"/>
      <x:c r="U18" s="42"/>
      <x:c r="W18" s="318">
        <x:f>(LOOKUP(K18,{"1A","1B","1C","2A","2B","2C","3A","3B","3C","4A","4B","4C"},{12,11,10,9,8,7,6,5,4,3,2,1})+LOOKUP(L18,{"1A","1B","1C","2A","2B","2C","3A","3B","3C","4A","4B","4C"},{12,11,10,9,8,7,6,5,4,3,2,1}))/2</x:f>
        <x:v>2.5</x:v>
      </x:c>
    </x:row>
    <x:row r="19" spans="1:23" s="14" customFormat="1" customHeight="1">
      <x:c r="A19" s="73">
        <x:v>14</x:v>
      </x:c>
      <x:c r="B19" s="60" t="s">
        <x:v>383</x:v>
      </x:c>
      <x:c r="C19" s="61" t="s">
        <x:v>280</x:v>
      </x:c>
      <x:c r="D19" s="61" t="s">
        <x:v>167</x:v>
      </x:c>
      <x:c r="E19" s="15"/>
      <x:c r="F19" s="61" t="s">
        <x:v>241</x:v>
      </x:c>
      <x:c r="G19" s="15"/>
      <x:c r="H19" s="61" t="s">
        <x:v>272</x:v>
      </x:c>
      <x:c r="I19" s="58" t="s">
        <x:v>380</x:v>
      </x:c>
      <x:c r="J19" s="259"/>
      <x:c r="K19" s="122" t="s">
        <x:v>269</x:v>
      </x:c>
      <x:c r="L19" s="261" t="s">
        <x:v>269</x:v>
      </x:c>
      <x:c r="M19" s="331" t="s">
        <x:v>269</x:v>
      </x:c>
      <x:c r="N19" s="332" t="s">
        <x:v>269</x:v>
      </x:c>
      <x:c r="O19" s="122" t="s">
        <x:v>269</x:v>
      </x:c>
      <x:c r="P19" s="261" t="s">
        <x:v>269</x:v>
      </x:c>
      <x:c r="Q19" s="122" t="s">
        <x:v>269</x:v>
      </x:c>
      <x:c r="R19" s="33"/>
      <x:c r="S19" s="22"/>
      <x:c r="T19" s="32"/>
      <x:c r="U19" s="42"/>
      <x:c r="W19" s="318" t="e">
        <x:f>(LOOKUP(K19,{"1A","1B","1C","2A","2B","2C","3A","3B","3C","4A","4B","4C"},{12,11,10,9,8,7,6,5,4,3,2,1})+LOOKUP(L19,{"1A","1B","1C","2A","2B","2C","3A","3B","3C","4A","4B","4C"},{12,11,10,9,8,7,6,5,4,3,2,1}))/2</x:f>
        <x:v>#N/A</x:v>
      </x:c>
    </x:row>
    <x:row r="20" spans="1:23" s="14" customFormat="1" customHeight="1">
      <x:c r="A20" s="97">
        <x:v>15</x:v>
      </x:c>
      <x:c r="B20" s="15" t="s">
        <x:v>383</x:v>
      </x:c>
      <x:c r="C20" s="15" t="s">
        <x:v>285</x:v>
      </x:c>
      <x:c r="D20" s="16" t="s">
        <x:v>179</x:v>
      </x:c>
      <x:c r="E20" s="15"/>
      <x:c r="F20" s="16" t="s">
        <x:v>100</x:v>
      </x:c>
      <x:c r="G20" s="15"/>
      <x:c r="H20" s="15" t="s">
        <x:v>267</x:v>
      </x:c>
      <x:c r="I20" s="29" t="s">
        <x:v>327</x:v>
      </x:c>
      <x:c r="J20" s="191"/>
      <x:c r="K20" s="31" t="s">
        <x:v>230</x:v>
      </x:c>
      <x:c r="L20" s="22" t="s">
        <x:v>230</x:v>
      </x:c>
      <x:c r="M20" s="333" t="s">
        <x:v>230</x:v>
      </x:c>
      <x:c r="N20" s="326" t="str">
        <x:f>LOOKUP(W20,{1,2,3,4,5,6,7,8,9,10,11,12},{"4C","4B","4A","3C","3B","3A","2C","2B","2A","1C","1B","1A"})</x:f>
        <x:v>4A</x:v>
      </x:c>
      <x:c r="O20" s="31" t="s">
        <x:v>230</x:v>
      </x:c>
      <x:c r="P20" s="22" t="s">
        <x:v>230</x:v>
      </x:c>
      <x:c r="Q20" s="125" t="s">
        <x:v>230</x:v>
      </x:c>
      <x:c r="R20" s="33" t="s">
        <x:v>191</x:v>
      </x:c>
      <x:c r="S20" s="22"/>
      <x:c r="T20" s="32"/>
      <x:c r="U20" s="42"/>
      <x:c r="W20" s="318">
        <x:f>(LOOKUP(K20,{"1A","1B","1C","2A","2B","2C","3A","3B","3C","4A","4B","4C"},{12,11,10,9,8,7,6,5,4,3,2,1})+LOOKUP(L20,{"1A","1B","1C","2A","2B","2C","3A","3B","3C","4A","4B","4C"},{12,11,10,9,8,7,6,5,4,3,2,1}))/2</x:f>
        <x:v>3</x:v>
      </x:c>
    </x:row>
    <x:row r="21" spans="1:23" s="14" customFormat="1" customHeight="1">
      <x:c r="A21" s="73">
        <x:v>16</x:v>
      </x:c>
      <x:c r="B21" s="15" t="s">
        <x:v>383</x:v>
      </x:c>
      <x:c r="C21" s="15" t="s">
        <x:v>285</x:v>
      </x:c>
      <x:c r="D21" s="16" t="s">
        <x:v>217</x:v>
      </x:c>
      <x:c r="E21" s="15"/>
      <x:c r="F21" s="16" t="s">
        <x:v>23</x:v>
      </x:c>
      <x:c r="G21" s="15"/>
      <x:c r="H21" s="16" t="s">
        <x:v>267</x:v>
      </x:c>
      <x:c r="I21" s="29" t="s">
        <x:v>327</x:v>
      </x:c>
      <x:c r="J21" s="191"/>
      <x:c r="K21" s="28" t="s">
        <x:v>238</x:v>
      </x:c>
      <x:c r="L21" s="17" t="s">
        <x:v>230</x:v>
      </x:c>
      <x:c r="M21" s="334" t="s">
        <x:v>230</x:v>
      </x:c>
      <x:c r="N21" s="326" t="str">
        <x:f>LOOKUP(W21,{1,2,3,4,5,6,7,8,9,10,11,12},{"4C","4B","4A","3C","3B","3A","2C","2B","2A","1C","1B","1A"})</x:f>
        <x:v>4B</x:v>
      </x:c>
      <x:c r="O21" s="28" t="s">
        <x:v>238</x:v>
      </x:c>
      <x:c r="P21" s="17" t="s">
        <x:v>230</x:v>
      </x:c>
      <x:c r="Q21" s="66" t="s">
        <x:v>230</x:v>
      </x:c>
      <x:c r="R21" s="33"/>
      <x:c r="S21" s="22" t="s">
        <x:v>36</x:v>
      </x:c>
      <x:c r="T21" s="32"/>
      <x:c r="U21" s="42"/>
      <x:c r="W21" s="318">
        <x:f>(LOOKUP(K21,{"1A","1B","1C","2A","2B","2C","3A","3B","3C","4A","4B","4C"},{12,11,10,9,8,7,6,5,4,3,2,1})+LOOKUP(L21,{"1A","1B","1C","2A","2B","2C","3A","3B","3C","4A","4B","4C"},{12,11,10,9,8,7,6,5,4,3,2,1}))/2</x:f>
        <x:v>2</x:v>
      </x:c>
    </x:row>
    <x:row r="22" spans="1:23" s="14" customFormat="1" customHeight="1">
      <x:c r="A22" s="97">
        <x:v>17</x:v>
      </x:c>
      <x:c r="B22" s="15" t="s">
        <x:v>383</x:v>
      </x:c>
      <x:c r="C22" s="16" t="s">
        <x:v>381</x:v>
      </x:c>
      <x:c r="D22" s="16" t="s">
        <x:v>217</x:v>
      </x:c>
      <x:c r="E22" s="15"/>
      <x:c r="F22" s="16" t="s">
        <x:v>130</x:v>
      </x:c>
      <x:c r="G22" s="15"/>
      <x:c r="H22" s="16" t="s">
        <x:v>267</x:v>
      </x:c>
      <x:c r="I22" s="29" t="s">
        <x:v>339</x:v>
      </x:c>
      <x:c r="J22" s="191"/>
      <x:c r="K22" s="28" t="s">
        <x:v>201</x:v>
      </x:c>
      <x:c r="L22" s="17" t="s">
        <x:v>188</x:v>
      </x:c>
      <x:c r="M22" s="334" t="s">
        <x:v>188</x:v>
      </x:c>
      <x:c r="N22" s="326" t="str">
        <x:f>LOOKUP(W22,{1,2,3,4,5,6,7,8,9,10,11,12},{"4C","4B","4A","3C","3B","3A","2C","2B","2A","1C","1B","1A"})</x:f>
        <x:v>4A</x:v>
      </x:c>
      <x:c r="O22" s="28" t="s">
        <x:v>201</x:v>
      </x:c>
      <x:c r="P22" s="17" t="s">
        <x:v>36</x:v>
      </x:c>
      <x:c r="Q22" s="66" t="s">
        <x:v>36</x:v>
      </x:c>
      <x:c r="R22" s="33"/>
      <x:c r="S22" s="22" t="s">
        <x:v>223</x:v>
      </x:c>
      <x:c r="T22" s="32"/>
      <x:c r="U22" s="42"/>
      <x:c r="W22" s="318">
        <x:f>(LOOKUP(K22,{"1A","1B","1C","2A","2B","2C","3A","3B","3C","4A","4B","4C"},{12,11,10,9,8,7,6,5,4,3,2,1})+LOOKUP(L22,{"1A","1B","1C","2A","2B","2C","3A","3B","3C","4A","4B","4C"},{12,11,10,9,8,7,6,5,4,3,2,1}))/2</x:f>
        <x:v>3.5</x:v>
      </x:c>
    </x:row>
    <x:row r="23" spans="1:23" s="14" customFormat="1" customHeight="1">
      <x:c r="A23" s="73">
        <x:v>18</x:v>
      </x:c>
      <x:c r="B23" s="15" t="s">
        <x:v>383</x:v>
      </x:c>
      <x:c r="C23" s="15" t="s">
        <x:v>381</x:v>
      </x:c>
      <x:c r="D23" s="15" t="s">
        <x:v>217</x:v>
      </x:c>
      <x:c r="E23" s="16"/>
      <x:c r="F23" s="16" t="s">
        <x:v>76</x:v>
      </x:c>
      <x:c r="G23" s="47"/>
      <x:c r="H23" s="16" t="s">
        <x:v>267</x:v>
      </x:c>
      <x:c r="I23" s="29" t="s">
        <x:v>327</x:v>
      </x:c>
      <x:c r="J23" s="191"/>
      <x:c r="K23" s="28" t="s">
        <x:v>162</x:v>
      </x:c>
      <x:c r="L23" s="17" t="s">
        <x:v>225</x:v>
      </x:c>
      <x:c r="M23" s="334" t="s">
        <x:v>225</x:v>
      </x:c>
      <x:c r="N23" s="326" t="str">
        <x:f>LOOKUP(W23,{1,2,3,4,5,6,7,8,9,10,11,12},{"4C","4B","4A","3C","3B","3A","2C","2B","2A","1C","1B","1A"})</x:f>
        <x:v>1B</x:v>
      </x:c>
      <x:c r="O23" s="28" t="s">
        <x:v>162</x:v>
      </x:c>
      <x:c r="P23" s="17" t="s">
        <x:v>225</x:v>
      </x:c>
      <x:c r="Q23" s="66" t="s">
        <x:v>225</x:v>
      </x:c>
      <x:c r="R23" s="28" t="s">
        <x:v>225</x:v>
      </x:c>
      <x:c r="S23" s="17"/>
      <x:c r="T23" s="29"/>
      <x:c r="U23" s="42"/>
      <x:c r="W23" s="318">
        <x:f>(LOOKUP(K23,{"1A","1B","1C","2A","2B","2C","3A","3B","3C","4A","4B","4C"},{12,11,10,9,8,7,6,5,4,3,2,1})+LOOKUP(L23,{"1A","1B","1C","2A","2B","2C","3A","3B","3C","4A","4B","4C"},{12,11,10,9,8,7,6,5,4,3,2,1}))/2</x:f>
        <x:v>11.5</x:v>
      </x:c>
    </x:row>
    <x:row r="24" spans="1:23" s="14" customFormat="1" customHeight="1">
      <x:c r="A24" s="97">
        <x:v>19</x:v>
      </x:c>
      <x:c r="B24" s="15" t="s">
        <x:v>383</x:v>
      </x:c>
      <x:c r="C24" s="15" t="s">
        <x:v>381</x:v>
      </x:c>
      <x:c r="D24" s="15" t="s">
        <x:v>217</x:v>
      </x:c>
      <x:c r="E24" s="16"/>
      <x:c r="F24" s="16" t="s">
        <x:v>89</x:v>
      </x:c>
      <x:c r="G24" s="15"/>
      <x:c r="H24" s="15" t="s">
        <x:v>267</x:v>
      </x:c>
      <x:c r="I24" s="29" t="s">
        <x:v>325</x:v>
      </x:c>
      <x:c r="J24" s="191"/>
      <x:c r="K24" s="28" t="s">
        <x:v>238</x:v>
      </x:c>
      <x:c r="L24" s="17" t="s">
        <x:v>36</x:v>
      </x:c>
      <x:c r="M24" s="334" t="s">
        <x:v>36</x:v>
      </x:c>
      <x:c r="N24" s="326" t="str">
        <x:f>LOOKUP(W24,{1,2,3,4,5,6,7,8,9,10,11,12},{"4C","4B","4A","3C","3B","3A","2C","2B","2A","1C","1B","1A"})</x:f>
        <x:v>4A</x:v>
      </x:c>
      <x:c r="O24" s="28" t="s">
        <x:v>238</x:v>
      </x:c>
      <x:c r="P24" s="364" t="s">
        <x:v>223</x:v>
      </x:c>
      <x:c r="Q24" s="339" t="s">
        <x:v>223</x:v>
      </x:c>
      <x:c r="R24" s="28"/>
      <x:c r="S24" s="17" t="s">
        <x:v>158</x:v>
      </x:c>
      <x:c r="T24" s="29"/>
      <x:c r="U24" s="42"/>
      <x:c r="W24" s="318">
        <x:f>(LOOKUP(K24,{"1A","1B","1C","2A","2B","2C","3A","3B","3C","4A","4B","4C"},{12,11,10,9,8,7,6,5,4,3,2,1})+LOOKUP(L24,{"1A","1B","1C","2A","2B","2C","3A","3B","3C","4A","4B","4C"},{12,11,10,9,8,7,6,5,4,3,2,1}))/2</x:f>
        <x:v>3.5</x:v>
      </x:c>
    </x:row>
    <x:row r="25" spans="1:23" s="14" customFormat="1" customHeight="1">
      <x:c r="A25" s="73">
        <x:v>20</x:v>
      </x:c>
      <x:c r="B25" s="15" t="s">
        <x:v>383</x:v>
      </x:c>
      <x:c r="C25" s="15" t="s">
        <x:v>381</x:v>
      </x:c>
      <x:c r="D25" s="15" t="s">
        <x:v>173</x:v>
      </x:c>
      <x:c r="E25" s="15"/>
      <x:c r="F25" s="16" t="s">
        <x:v>178</x:v>
      </x:c>
      <x:c r="G25" s="15"/>
      <x:c r="H25" s="15" t="s">
        <x:v>267</x:v>
      </x:c>
      <x:c r="I25" s="29" t="s">
        <x:v>325</x:v>
      </x:c>
      <x:c r="J25" s="191"/>
      <x:c r="K25" s="28" t="s">
        <x:v>191</x:v>
      </x:c>
      <x:c r="L25" s="17" t="s">
        <x:v>162</x:v>
      </x:c>
      <x:c r="M25" s="334" t="s">
        <x:v>162</x:v>
      </x:c>
      <x:c r="N25" s="326" t="str">
        <x:f>LOOKUP(W25,{1,2,3,4,5,6,7,8,9,10,11,12},{"4C","4B","4A","3C","3B","3A","2C","2B","2A","1C","1B","1A"})</x:f>
        <x:v>2C</x:v>
      </x:c>
      <x:c r="O25" s="28" t="s">
        <x:v>191</x:v>
      </x:c>
      <x:c r="P25" s="17" t="s">
        <x:v>162</x:v>
      </x:c>
      <x:c r="Q25" s="66" t="s">
        <x:v>162</x:v>
      </x:c>
      <x:c r="R25" s="33"/>
      <x:c r="S25" s="22" t="s">
        <x:v>225</x:v>
      </x:c>
      <x:c r="T25" s="32"/>
      <x:c r="U25" s="42"/>
      <x:c r="W25" s="318">
        <x:f>(LOOKUP(K25,{"1A","1B","1C","2A","2B","2C","3A","3B","3C","4A","4B","4C"},{12,11,10,9,8,7,6,5,4,3,2,1})+LOOKUP(L25,{"1A","1B","1C","2A","2B","2C","3A","3B","3C","4A","4B","4C"},{12,11,10,9,8,7,6,5,4,3,2,1}))/2</x:f>
        <x:v>7.5</x:v>
      </x:c>
    </x:row>
    <x:row r="26" spans="1:23" s="14" customFormat="1" customHeight="1">
      <x:c r="A26" s="97">
        <x:v>21</x:v>
      </x:c>
      <x:c r="B26" s="15" t="s">
        <x:v>383</x:v>
      </x:c>
      <x:c r="C26" s="15" t="s">
        <x:v>285</x:v>
      </x:c>
      <x:c r="D26" s="15" t="s">
        <x:v>173</x:v>
      </x:c>
      <x:c r="E26" s="15"/>
      <x:c r="F26" s="16" t="s">
        <x:v>31</x:v>
      </x:c>
      <x:c r="G26" s="15"/>
      <x:c r="H26" s="16" t="s">
        <x:v>267</x:v>
      </x:c>
      <x:c r="I26" s="29" t="s">
        <x:v>339</x:v>
      </x:c>
      <x:c r="J26" s="191"/>
      <x:c r="K26" s="28" t="s">
        <x:v>215</x:v>
      </x:c>
      <x:c r="L26" s="17" t="s">
        <x:v>201</x:v>
      </x:c>
      <x:c r="M26" s="334" t="s">
        <x:v>215</x:v>
      </x:c>
      <x:c r="N26" s="326" t="str">
        <x:f>LOOKUP(W26,{1,2,3,4,5,6,7,8,9,10,11,12},{"4C","4B","4A","3C","3B","3A","2C","2B","2A","1C","1B","1A"})</x:f>
        <x:v>3A</x:v>
      </x:c>
      <x:c r="O26" s="28" t="s">
        <x:v>215</x:v>
      </x:c>
      <x:c r="P26" s="17" t="s">
        <x:v>201</x:v>
      </x:c>
      <x:c r="Q26" s="66" t="s">
        <x:v>215</x:v>
      </x:c>
      <x:c r="R26" s="33" t="s">
        <x:v>162</x:v>
      </x:c>
      <x:c r="S26" s="22"/>
      <x:c r="T26" s="32"/>
      <x:c r="U26" s="42"/>
      <x:c r="W26" s="318">
        <x:f>(LOOKUP(K26,{"1A","1B","1C","2A","2B","2C","3A","3B","3C","4A","4B","4C"},{12,11,10,9,8,7,6,5,4,3,2,1})+LOOKUP(L26,{"1A","1B","1C","2A","2B","2C","3A","3B","3C","4A","4B","4C"},{12,11,10,9,8,7,6,5,4,3,2,1}))/2</x:f>
        <x:v>6</x:v>
      </x:c>
    </x:row>
    <x:row r="27" spans="1:23" s="14" customFormat="1" customHeight="1">
      <x:c r="A27" s="73">
        <x:v>22</x:v>
      </x:c>
      <x:c r="B27" s="15" t="s">
        <x:v>383</x:v>
      </x:c>
      <x:c r="C27" s="15" t="s">
        <x:v>381</x:v>
      </x:c>
      <x:c r="D27" s="15" t="s">
        <x:v>173</x:v>
      </x:c>
      <x:c r="E27" s="15"/>
      <x:c r="F27" s="16" t="s">
        <x:v>148</x:v>
      </x:c>
      <x:c r="G27" s="15"/>
      <x:c r="H27" s="16" t="s">
        <x:v>267</x:v>
      </x:c>
      <x:c r="I27" s="29" t="s">
        <x:v>327</x:v>
      </x:c>
      <x:c r="J27" s="191"/>
      <x:c r="K27" s="28" t="s">
        <x:v>230</x:v>
      </x:c>
      <x:c r="L27" s="17" t="s">
        <x:v>223</x:v>
      </x:c>
      <x:c r="M27" s="334" t="s">
        <x:v>223</x:v>
      </x:c>
      <x:c r="N27" s="326" t="str">
        <x:f>LOOKUP(W27,{1,2,3,4,5,6,7,8,9,10,11,12},{"4C","4B","4A","3C","3B","3A","2C","2B","2A","1C","1B","1A"})</x:f>
        <x:v>3B</x:v>
      </x:c>
      <x:c r="O27" s="28" t="s">
        <x:v>230</x:v>
      </x:c>
      <x:c r="P27" s="17" t="s">
        <x:v>223</x:v>
      </x:c>
      <x:c r="Q27" s="66" t="s">
        <x:v>223</x:v>
      </x:c>
      <x:c r="R27" s="33"/>
      <x:c r="S27" s="22" t="s">
        <x:v>225</x:v>
      </x:c>
      <x:c r="T27" s="32"/>
      <x:c r="U27" s="42"/>
      <x:c r="W27" s="318">
        <x:f>(LOOKUP(K27,{"1A","1B","1C","2A","2B","2C","3A","3B","3C","4A","4B","4C"},{12,11,10,9,8,7,6,5,4,3,2,1})+LOOKUP(L27,{"1A","1B","1C","2A","2B","2C","3A","3B","3C","4A","4B","4C"},{12,11,10,9,8,7,6,5,4,3,2,1}))/2</x:f>
        <x:v>5.5</x:v>
      </x:c>
    </x:row>
    <x:row r="28" spans="1:23" s="14" customFormat="1" customHeight="1">
      <x:c r="A28" s="97">
        <x:v>23</x:v>
      </x:c>
      <x:c r="B28" s="15" t="s">
        <x:v>383</x:v>
      </x:c>
      <x:c r="C28" s="15" t="s">
        <x:v>381</x:v>
      </x:c>
      <x:c r="D28" s="15" t="s">
        <x:v>173</x:v>
      </x:c>
      <x:c r="E28" s="15"/>
      <x:c r="F28" s="16" t="s">
        <x:v>16</x:v>
      </x:c>
      <x:c r="G28" s="15"/>
      <x:c r="H28" s="16" t="s">
        <x:v>267</x:v>
      </x:c>
      <x:c r="I28" s="29" t="s">
        <x:v>325</x:v>
      </x:c>
      <x:c r="J28" s="191"/>
      <x:c r="K28" s="28" t="s">
        <x:v>36</x:v>
      </x:c>
      <x:c r="L28" s="17" t="s">
        <x:v>191</x:v>
      </x:c>
      <x:c r="M28" s="334" t="s">
        <x:v>36</x:v>
      </x:c>
      <x:c r="N28" s="326" t="str">
        <x:f>LOOKUP(W28,{1,2,3,4,5,6,7,8,9,10,11,12},{"4C","4B","4A","3C","3B","3A","2C","2B","2A","1C","1B","1A"})</x:f>
        <x:v>3B</x:v>
      </x:c>
      <x:c r="O28" s="28" t="s">
        <x:v>36</x:v>
      </x:c>
      <x:c r="P28" s="17" t="s">
        <x:v>191</x:v>
      </x:c>
      <x:c r="Q28" s="66" t="s">
        <x:v>36</x:v>
      </x:c>
      <x:c r="R28" s="33" t="s">
        <x:v>175</x:v>
      </x:c>
      <x:c r="S28" s="22"/>
      <x:c r="T28" s="32"/>
      <x:c r="U28" s="42"/>
      <x:c r="W28" s="318">
        <x:f>(LOOKUP(K28,{"1A","1B","1C","2A","2B","2C","3A","3B","3C","4A","4B","4C"},{12,11,10,9,8,7,6,5,4,3,2,1})+LOOKUP(L28,{"1A","1B","1C","2A","2B","2C","3A","3B","3C","4A","4B","4C"},{12,11,10,9,8,7,6,5,4,3,2,1}))/2</x:f>
        <x:v>5</x:v>
      </x:c>
    </x:row>
    <x:row r="29" spans="1:23" s="14" customFormat="1" customHeight="1">
      <x:c r="A29" s="73">
        <x:v>24</x:v>
      </x:c>
      <x:c r="B29" s="15" t="s">
        <x:v>383</x:v>
      </x:c>
      <x:c r="C29" s="15" t="s">
        <x:v>285</x:v>
      </x:c>
      <x:c r="D29" s="15" t="s">
        <x:v>173</x:v>
      </x:c>
      <x:c r="E29" s="15"/>
      <x:c r="F29" s="16" t="s">
        <x:v>112</x:v>
      </x:c>
      <x:c r="G29" s="15"/>
      <x:c r="H29" s="16" t="s">
        <x:v>267</x:v>
      </x:c>
      <x:c r="I29" s="29" t="s">
        <x:v>327</x:v>
      </x:c>
      <x:c r="J29" s="191"/>
      <x:c r="K29" s="28" t="s">
        <x:v>215</x:v>
      </x:c>
      <x:c r="L29" s="17" t="s">
        <x:v>191</x:v>
      </x:c>
      <x:c r="M29" s="334" t="s">
        <x:v>215</x:v>
      </x:c>
      <x:c r="N29" s="327" t="str">
        <x:f>LOOKUP(W29,{1,2,3,4,5,6,7,8,9,10,11,12},{"4C","4B","4A","3C","3B","3A","2C","2B","2A","1C","1B","1A"})</x:f>
        <x:v>2C</x:v>
      </x:c>
      <x:c r="O29" s="365" t="s">
        <x:v>162</x:v>
      </x:c>
      <x:c r="P29" s="17" t="s">
        <x:v>191</x:v>
      </x:c>
      <x:c r="Q29" s="339" t="s">
        <x:v>162</x:v>
      </x:c>
      <x:c r="R29" s="33" t="s">
        <x:v>225</x:v>
      </x:c>
      <x:c r="S29" s="22"/>
      <x:c r="T29" s="32"/>
      <x:c r="U29" s="42"/>
      <x:c r="W29" s="318">
        <x:f>(LOOKUP(K29,{"1A","1B","1C","2A","2B","2C","3A","3B","3C","4A","4B","4C"},{12,11,10,9,8,7,6,5,4,3,2,1})+LOOKUP(L29,{"1A","1B","1C","2A","2B","2C","3A","3B","3C","4A","4B","4C"},{12,11,10,9,8,7,6,5,4,3,2,1}))/2</x:f>
        <x:v>7</x:v>
      </x:c>
    </x:row>
    <x:row r="30" spans="1:23" s="14" customFormat="1" customHeight="1">
      <x:c r="A30" s="97">
        <x:v>25</x:v>
      </x:c>
      <x:c r="B30" s="15" t="s">
        <x:v>383</x:v>
      </x:c>
      <x:c r="C30" s="15" t="s">
        <x:v>285</x:v>
      </x:c>
      <x:c r="D30" s="15" t="s">
        <x:v>173</x:v>
      </x:c>
      <x:c r="E30" s="15"/>
      <x:c r="F30" s="16" t="s">
        <x:v>69</x:v>
      </x:c>
      <x:c r="G30" s="15"/>
      <x:c r="H30" s="15" t="s">
        <x:v>267</x:v>
      </x:c>
      <x:c r="I30" s="29" t="s">
        <x:v>327</x:v>
      </x:c>
      <x:c r="J30" s="191"/>
      <x:c r="K30" s="28" t="s">
        <x:v>36</x:v>
      </x:c>
      <x:c r="L30" s="17" t="s">
        <x:v>238</x:v>
      </x:c>
      <x:c r="M30" s="334" t="s">
        <x:v>36</x:v>
      </x:c>
      <x:c r="N30" s="327" t="str">
        <x:f>LOOKUP(W30,{1,2,3,4,5,6,7,8,9,10,11,12},{"4C","4B","4A","3C","3B","3A","2C","2B","2A","1C","1B","1A"})</x:f>
        <x:v>4A</x:v>
      </x:c>
      <x:c r="O30" s="365" t="s">
        <x:v>175</x:v>
      </x:c>
      <x:c r="P30" s="17" t="s">
        <x:v>238</x:v>
      </x:c>
      <x:c r="Q30" s="339" t="s">
        <x:v>175</x:v>
      </x:c>
      <x:c r="R30" s="33" t="s">
        <x:v>175</x:v>
      </x:c>
      <x:c r="S30" s="22"/>
      <x:c r="T30" s="32"/>
      <x:c r="U30" s="42"/>
      <x:c r="W30" s="318">
        <x:f>(LOOKUP(K30,{"1A","1B","1C","2A","2B","2C","3A","3B","3C","4A","4B","4C"},{12,11,10,9,8,7,6,5,4,3,2,1})+LOOKUP(L30,{"1A","1B","1C","2A","2B","2C","3A","3B","3C","4A","4B","4C"},{12,11,10,9,8,7,6,5,4,3,2,1}))/2</x:f>
        <x:v>3.5</x:v>
      </x:c>
    </x:row>
    <x:row r="31" spans="1:23" s="14" customFormat="1" customHeight="1">
      <x:c r="A31" s="73">
        <x:v>26</x:v>
      </x:c>
      <x:c r="B31" s="15" t="s">
        <x:v>383</x:v>
      </x:c>
      <x:c r="C31" s="15" t="s">
        <x:v>381</x:v>
      </x:c>
      <x:c r="D31" s="15" t="s">
        <x:v>173</x:v>
      </x:c>
      <x:c r="E31" s="15"/>
      <x:c r="F31" s="16" t="s">
        <x:v>72</x:v>
      </x:c>
      <x:c r="G31" s="15"/>
      <x:c r="H31" s="15" t="s">
        <x:v>267</x:v>
      </x:c>
      <x:c r="I31" s="29" t="s">
        <x:v>325</x:v>
      </x:c>
      <x:c r="J31" s="191"/>
      <x:c r="K31" s="28" t="s">
        <x:v>36</x:v>
      </x:c>
      <x:c r="L31" s="17" t="s">
        <x:v>175</x:v>
      </x:c>
      <x:c r="M31" s="334" t="s">
        <x:v>175</x:v>
      </x:c>
      <x:c r="N31" s="327" t="str">
        <x:f>LOOKUP(W31,{1,2,3,4,5,6,7,8,9,10,11,12},{"4C","4B","4A","3C","3B","3A","2C","2B","2A","1C","1B","1A"})</x:f>
        <x:v>3A</x:v>
      </x:c>
      <x:c r="O31" s="28" t="s">
        <x:v>36</x:v>
      </x:c>
      <x:c r="P31" s="364" t="s">
        <x:v>158</x:v>
      </x:c>
      <x:c r="Q31" s="339" t="s">
        <x:v>158</x:v>
      </x:c>
      <x:c r="R31" s="33"/>
      <x:c r="S31" s="22" t="s">
        <x:v>215</x:v>
      </x:c>
      <x:c r="T31" s="32"/>
      <x:c r="U31" s="42"/>
      <x:c r="W31" s="318">
        <x:f>(LOOKUP(K31,{"1A","1B","1C","2A","2B","2C","3A","3B","3C","4A","4B","4C"},{12,11,10,9,8,7,6,5,4,3,2,1})+LOOKUP(L31,{"1A","1B","1C","2A","2B","2C","3A","3B","3C","4A","4B","4C"},{12,11,10,9,8,7,6,5,4,3,2,1}))/2</x:f>
        <x:v>6.5</x:v>
      </x:c>
    </x:row>
    <x:row r="32" spans="1:23" s="14" customFormat="1" customHeight="1">
      <x:c r="A32" s="97">
        <x:v>27</x:v>
      </x:c>
      <x:c r="B32" s="15" t="s">
        <x:v>383</x:v>
      </x:c>
      <x:c r="C32" s="15" t="s">
        <x:v>285</x:v>
      </x:c>
      <x:c r="D32" s="15" t="s">
        <x:v>173</x:v>
      </x:c>
      <x:c r="E32" s="15"/>
      <x:c r="F32" s="16" t="s">
        <x:v>21</x:v>
      </x:c>
      <x:c r="G32" s="15"/>
      <x:c r="H32" s="15" t="s">
        <x:v>267</x:v>
      </x:c>
      <x:c r="I32" s="29" t="s">
        <x:v>339</x:v>
      </x:c>
      <x:c r="J32" s="191"/>
      <x:c r="K32" s="28" t="s">
        <x:v>238</x:v>
      </x:c>
      <x:c r="L32" s="17" t="s">
        <x:v>36</x:v>
      </x:c>
      <x:c r="M32" s="334" t="s">
        <x:v>36</x:v>
      </x:c>
      <x:c r="N32" s="326" t="str">
        <x:f>LOOKUP(W32,{1,2,3,4,5,6,7,8,9,10,11,12},{"4C","4B","4A","3C","3B","3A","2C","2B","2A","1C","1B","1A"})</x:f>
        <x:v>4A</x:v>
      </x:c>
      <x:c r="O32" s="28" t="s">
        <x:v>238</x:v>
      </x:c>
      <x:c r="P32" s="17" t="s">
        <x:v>36</x:v>
      </x:c>
      <x:c r="Q32" s="66" t="s">
        <x:v>36</x:v>
      </x:c>
      <x:c r="R32" s="33"/>
      <x:c r="S32" s="22" t="s">
        <x:v>175</x:v>
      </x:c>
      <x:c r="T32" s="32"/>
      <x:c r="U32" s="42"/>
      <x:c r="W32" s="318">
        <x:f>(LOOKUP(K32,{"1A","1B","1C","2A","2B","2C","3A","3B","3C","4A","4B","4C"},{12,11,10,9,8,7,6,5,4,3,2,1})+LOOKUP(L32,{"1A","1B","1C","2A","2B","2C","3A","3B","3C","4A","4B","4C"},{12,11,10,9,8,7,6,5,4,3,2,1}))/2</x:f>
        <x:v>3.5</x:v>
      </x:c>
    </x:row>
    <x:row r="33" spans="1:23" s="14" customFormat="1" customHeight="1">
      <x:c r="A33" s="73">
        <x:v>28</x:v>
      </x:c>
      <x:c r="B33" s="15" t="s">
        <x:v>383</x:v>
      </x:c>
      <x:c r="C33" s="15" t="s">
        <x:v>285</x:v>
      </x:c>
      <x:c r="D33" s="15" t="s">
        <x:v>171</x:v>
      </x:c>
      <x:c r="E33" s="15"/>
      <x:c r="F33" s="16" t="s">
        <x:v>32</x:v>
      </x:c>
      <x:c r="G33" s="15"/>
      <x:c r="H33" s="62" t="s">
        <x:v>267</x:v>
      </x:c>
      <x:c r="I33" s="29" t="s">
        <x:v>327</x:v>
      </x:c>
      <x:c r="J33" s="191"/>
      <x:c r="K33" s="31" t="s">
        <x:v>162</x:v>
      </x:c>
      <x:c r="L33" s="22" t="s">
        <x:v>238</x:v>
      </x:c>
      <x:c r="M33" s="333" t="s">
        <x:v>162</x:v>
      </x:c>
      <x:c r="N33" s="326" t="str">
        <x:f>LOOKUP(W33,{1,2,3,4,5,6,7,8,9,10,11,12},{"4C","4B","4A","3C","3B","3A","2C","2B","2A","1C","1B","1A"})</x:f>
        <x:v>3A</x:v>
      </x:c>
      <x:c r="O33" s="31" t="s">
        <x:v>162</x:v>
      </x:c>
      <x:c r="P33" s="22" t="s">
        <x:v>238</x:v>
      </x:c>
      <x:c r="Q33" s="125" t="s">
        <x:v>162</x:v>
      </x:c>
      <x:c r="R33" s="31" t="s">
        <x:v>225</x:v>
      </x:c>
      <x:c r="S33" s="22"/>
      <x:c r="T33" s="32"/>
      <x:c r="U33" s="42"/>
      <x:c r="V33" s="8"/>
      <x:c r="W33" s="318">
        <x:f>(LOOKUP(K33,{"1A","1B","1C","2A","2B","2C","3A","3B","3C","4A","4B","4C"},{12,11,10,9,8,7,6,5,4,3,2,1})+LOOKUP(L33,{"1A","1B","1C","2A","2B","2C","3A","3B","3C","4A","4B","4C"},{12,11,10,9,8,7,6,5,4,3,2,1}))/2</x:f>
        <x:v>6</x:v>
      </x:c>
    </x:row>
    <x:row r="34" spans="1:23" s="12" customFormat="1" customHeight="1">
      <x:c r="A34" s="68">
        <x:v>29</x:v>
      </x:c>
      <x:c r="B34" s="68" t="s">
        <x:v>383</x:v>
      </x:c>
      <x:c r="C34" s="68" t="s">
        <x:v>381</x:v>
      </x:c>
      <x:c r="D34" s="68" t="s">
        <x:v>171</x:v>
      </x:c>
      <x:c r="E34" s="68"/>
      <x:c r="F34" s="68" t="s">
        <x:v>86</x:v>
      </x:c>
      <x:c r="G34" s="68"/>
      <x:c r="H34" s="68" t="s">
        <x:v>267</x:v>
      </x:c>
      <x:c r="I34" s="69" t="s">
        <x:v>325</x:v>
      </x:c>
      <x:c r="J34" s="260"/>
      <x:c r="K34" s="227" t="s">
        <x:v>230</x:v>
      </x:c>
      <x:c r="L34" s="228" t="s">
        <x:v>158</x:v>
      </x:c>
      <x:c r="M34" s="335" t="s">
        <x:v>158</x:v>
      </x:c>
      <x:c r="N34" s="336" t="s">
        <x:v>158</x:v>
      </x:c>
      <x:c r="O34" s="227" t="s">
        <x:v>230</x:v>
      </x:c>
      <x:c r="P34" s="228" t="s">
        <x:v>158</x:v>
      </x:c>
      <x:c r="Q34" s="229" t="s">
        <x:v>158</x:v>
      </x:c>
      <x:c r="R34" s="227"/>
      <x:c r="S34" s="228" t="s">
        <x:v>162</x:v>
      </x:c>
      <x:c r="T34" s="230"/>
      <x:c r="U34" s="203"/>
      <x:c r="V34" s="8"/>
      <x:c r="W34" s="318">
        <x:f>(LOOKUP(K34,{"1A","1B","1C","2A","2B","2C","3A","3B","3C","4A","4B","4C"},{12,11,10,9,8,7,6,5,4,3,2,1})+LOOKUP(L34,{"1A","1B","1C","2A","2B","2C","3A","3B","3C","4A","4B","4C"},{12,11,10,9,8,7,6,5,4,3,2,1}))/2</x:f>
        <x:v>6</x:v>
      </x:c>
    </x:row>
    <x:row r="35" spans="21:23">
      <x:c r="U35" s="24"/>
      <x:c r="W35" s="314"/>
    </x:row>
    <x:row r="36" spans="23:24">
      <x:c r="W36" s="371" t="e">
        <x:f>SUM(#REF!,#REF!)</x:f>
        <x:v>#REF!</x:v>
      </x:c>
      <x:c r="X36" s="372" t="e">
        <x:f>SUM(#REF!,#REF!)</x:f>
        <x:v>#REF!</x:v>
      </x:c>
    </x:row>
    <x:row r="37" spans="23:23">
      <x:c r="W37" s="314"/>
    </x:row>
    <x:row r="38" spans="23:23">
      <x:c r="W38" s="314"/>
    </x:row>
    <x:row r="39" spans="23:23">
      <x:c r="W39" s="314"/>
    </x:row>
  </x:sheetData>
  <x:autoFilter ref="A4:U35"/>
  <x:mergeCells count="14">
    <x:mergeCell ref="A1:U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K3:N3"/>
    <x:mergeCell ref="O3:Q3"/>
    <x:mergeCell ref="R3:T3"/>
    <x:mergeCell ref="U3:U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 filterMode="1"/>
  <x:dimension ref="A1:W51"/>
  <x:sheetViews>
    <x:sheetView topLeftCell="A31" zoomScaleNormal="75" zoomScaleSheetLayoutView="100" workbookViewId="0">
      <x:selection activeCell="A52" activeCellId="0" sqref="A52:XFD64"/>
    </x:sheetView>
  </x:sheetViews>
  <x:sheetFormatPr defaultColWidth="8.88671875" defaultRowHeight="14.19999999999999928946"/>
  <x:cols>
    <x:col min="1" max="1" width="4.34765625" style="98" bestFit="1" customWidth="1"/>
    <x:col min="2" max="2" width="16.109375" style="20" customWidth="1"/>
    <x:col min="3" max="3" width="14.890625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5.91796875" style="20" bestFit="1" customWidth="1"/>
    <x:col min="11" max="11" width="8.29296875" style="20" bestFit="1" customWidth="1"/>
    <x:col min="12" max="12" width="8.29296875" style="20" customWidth="1"/>
    <x:col min="13" max="13" width="9.29296875" style="20" bestFit="1" customWidth="1"/>
    <x:col min="14" max="14" width="5.91796875" style="20" bestFit="1" customWidth="1"/>
    <x:col min="15" max="15" width="8.29296875" style="20" bestFit="1" customWidth="1"/>
    <x:col min="16" max="16" width="5.91796875" style="20" bestFit="1" customWidth="1"/>
    <x:col min="17" max="17" width="7.40625" style="41" bestFit="1" customWidth="1"/>
    <x:col min="18" max="18" width="8.29296875" style="41" bestFit="1" customWidth="1"/>
    <x:col min="19" max="19" width="7.40625" style="41" bestFit="1" customWidth="1"/>
    <x:col min="20" max="20" width="8.88671875" style="27"/>
    <x:col min="22" max="22" width="8.88671875" style="3" bestFit="1" customWidth="1"/>
    <x:col min="23" max="23" width="8.88671875" style="2" bestFit="1" customWidth="1"/>
  </x:cols>
  <x:sheetData>
    <x:row r="1" spans="1:20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</x:row>
    <x:row r="2" spans="1:20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</x:row>
    <x:row r="3" spans="1:20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470" t="s">
        <x:v>334</x:v>
      </x:c>
      <x:c r="K3" s="471"/>
      <x:c r="L3" s="472"/>
      <x:c r="M3" s="473"/>
      <x:c r="N3" s="470" t="s">
        <x:v>332</x:v>
      </x:c>
      <x:c r="O3" s="471"/>
      <x:c r="P3" s="473"/>
      <x:c r="Q3" s="467" t="s">
        <x:v>328</x:v>
      </x:c>
      <x:c r="R3" s="468"/>
      <x:c r="S3" s="469"/>
      <x:c r="T3" s="474" t="s">
        <x:v>348</x:v>
      </x:c>
    </x:row>
    <x:row r="4" spans="1:22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119" t="s">
        <x:v>160</x:v>
      </x:c>
      <x:c r="K4" s="120" t="s">
        <x:v>381</x:v>
      </x:c>
      <x:c r="L4" s="342" t="s">
        <x:v>363</x:v>
      </x:c>
      <x:c r="M4" s="324" t="s">
        <x:v>354</x:v>
      </x:c>
      <x:c r="N4" s="119" t="s">
        <x:v>160</x:v>
      </x:c>
      <x:c r="O4" s="120" t="s">
        <x:v>381</x:v>
      </x:c>
      <x:c r="P4" s="121" t="s">
        <x:v>192</x:v>
      </x:c>
      <x:c r="Q4" s="74" t="s">
        <x:v>160</x:v>
      </x:c>
      <x:c r="R4" s="75" t="s">
        <x:v>381</x:v>
      </x:c>
      <x:c r="S4" s="76" t="s">
        <x:v>192</x:v>
      </x:c>
      <x:c r="T4" s="475"/>
      <x:c r="V4" s="317" t="s">
        <x:v>291</x:v>
      </x:c>
    </x:row>
    <x:row r="5" spans="1:22" s="12" customFormat="1" customHeight="1">
      <x:c r="A5" s="73">
        <x:v>1</x:v>
      </x:c>
      <x:c r="B5" s="59" t="s">
        <x:v>362</x:v>
      </x:c>
      <x:c r="C5" s="54" t="s">
        <x:v>252</x:v>
      </x:c>
      <x:c r="D5" s="54" t="s">
        <x:v>246</x:v>
      </x:c>
      <x:c r="E5" s="49"/>
      <x:c r="F5" s="54" t="s">
        <x:v>53</x:v>
      </x:c>
      <x:c r="G5" s="16"/>
      <x:c r="H5" s="54" t="s">
        <x:v>272</x:v>
      </x:c>
      <x:c r="I5" s="57" t="s">
        <x:v>337</x:v>
      </x:c>
      <x:c r="J5" s="94" t="s">
        <x:v>225</x:v>
      </x:c>
      <x:c r="K5" s="95" t="s">
        <x:v>225</x:v>
      </x:c>
      <x:c r="L5" s="340" t="s">
        <x:v>225</x:v>
      </x:c>
      <x:c r="M5" s="343" t="str">
        <x:f>LOOKUP(V5,{1,2,3,4,5,6,7,8,9,10,11,12},{"4C","4B","4A","3C","3B","3A","2C","2B","2A","1C","1B","1A"})</x:f>
        <x:v>1A</x:v>
      </x:c>
      <x:c r="N5" s="94" t="s">
        <x:v>225</x:v>
      </x:c>
      <x:c r="O5" s="95" t="s">
        <x:v>225</x:v>
      </x:c>
      <x:c r="P5" s="96" t="s">
        <x:v>225</x:v>
      </x:c>
      <x:c r="Q5" s="31"/>
      <x:c r="R5" s="22"/>
      <x:c r="S5" s="32"/>
      <x:c r="T5" s="40" t="s">
        <x:v>350</x:v>
      </x:c>
      <x:c r="V5" s="318">
        <x:f>(LOOKUP(J5,{"1A","1B","1C","2A","2B","2C","3A","3B","3C","4A","4B","4C"},{12,11,10,9,8,7,6,5,4,3,2,1})+LOOKUP(K5,{"1A","1B","1C","2A","2B","2C","3A","3B","3C","4A","4B","4C"},{12,11,10,9,8,7,6,5,4,3,2,1}))/2</x:f>
        <x:v>12</x:v>
      </x:c>
    </x:row>
    <x:row r="6" spans="1:22" s="14" customFormat="1" customHeight="1">
      <x:c r="A6" s="97">
        <x:v>2</x:v>
      </x:c>
      <x:c r="B6" s="54" t="s">
        <x:v>362</x:v>
      </x:c>
      <x:c r="C6" s="54" t="s">
        <x:v>252</x:v>
      </x:c>
      <x:c r="D6" s="54" t="s">
        <x:v>168</x:v>
      </x:c>
      <x:c r="E6" s="15"/>
      <x:c r="F6" s="54" t="s">
        <x:v>224</x:v>
      </x:c>
      <x:c r="G6" s="16"/>
      <x:c r="H6" s="54" t="s">
        <x:v>272</x:v>
      </x:c>
      <x:c r="I6" s="57" t="s">
        <x:v>337</x:v>
      </x:c>
      <x:c r="J6" s="94" t="s">
        <x:v>225</x:v>
      </x:c>
      <x:c r="K6" s="95" t="s">
        <x:v>225</x:v>
      </x:c>
      <x:c r="L6" s="340" t="s">
        <x:v>225</x:v>
      </x:c>
      <x:c r="M6" s="338" t="str">
        <x:f>LOOKUP(V6,{1,2,3,4,5,6,7,8,9,10,11,12},{"4C","4B","4A","3C","3B","3A","2C","2B","2A","1C","1B","1A"})</x:f>
        <x:v>1A</x:v>
      </x:c>
      <x:c r="N6" s="94" t="s">
        <x:v>225</x:v>
      </x:c>
      <x:c r="O6" s="95" t="s">
        <x:v>225</x:v>
      </x:c>
      <x:c r="P6" s="96" t="s">
        <x:v>225</x:v>
      </x:c>
      <x:c r="Q6" s="28"/>
      <x:c r="R6" s="17"/>
      <x:c r="S6" s="29"/>
      <x:c r="T6" s="40" t="s">
        <x:v>350</x:v>
      </x:c>
      <x:c r="V6" s="318">
        <x:f>(LOOKUP(J6,{"1A","1B","1C","2A","2B","2C","3A","3B","3C","4A","4B","4C"},{12,11,10,9,8,7,6,5,4,3,2,1})+LOOKUP(K6,{"1A","1B","1C","2A","2B","2C","3A","3B","3C","4A","4B","4C"},{12,11,10,9,8,7,6,5,4,3,2,1}))/2</x:f>
        <x:v>12</x:v>
      </x:c>
    </x:row>
    <x:row r="7" spans="1:22" s="14" customFormat="1" customHeight="1">
      <x:c r="A7" s="73">
        <x:v>3</x:v>
      </x:c>
      <x:c r="B7" s="235" t="s">
        <x:v>362</x:v>
      </x:c>
      <x:c r="C7" s="235" t="s">
        <x:v>252</x:v>
      </x:c>
      <x:c r="D7" s="235" t="s">
        <x:v>248</x:v>
      </x:c>
      <x:c r="E7" s="78"/>
      <x:c r="F7" s="235" t="s">
        <x:v>194</x:v>
      </x:c>
      <x:c r="G7" s="78"/>
      <x:c r="H7" s="235" t="s">
        <x:v>272</x:v>
      </x:c>
      <x:c r="I7" s="236" t="s">
        <x:v>320</x:v>
      </x:c>
      <x:c r="J7" s="237" t="s">
        <x:v>225</x:v>
      </x:c>
      <x:c r="K7" s="238" t="s">
        <x:v>225</x:v>
      </x:c>
      <x:c r="L7" s="340" t="s">
        <x:v>225</x:v>
      </x:c>
      <x:c r="M7" s="338" t="str">
        <x:f>LOOKUP(V7,{1,2,3,4,5,6,7,8,9,10,11,12},{"4C","4B","4A","3C","3B","3A","2C","2B","2A","1C","1B","1A"})</x:f>
        <x:v>1A</x:v>
      </x:c>
      <x:c r="N7" s="237" t="s">
        <x:v>225</x:v>
      </x:c>
      <x:c r="O7" s="238" t="s">
        <x:v>225</x:v>
      </x:c>
      <x:c r="P7" s="239" t="s">
        <x:v>225</x:v>
      </x:c>
      <x:c r="Q7" s="81"/>
      <x:c r="R7" s="82"/>
      <x:c r="S7" s="234"/>
      <x:c r="T7" s="84"/>
      <x:c r="V7" s="318">
        <x:f>(LOOKUP(J7,{"1A","1B","1C","2A","2B","2C","3A","3B","3C","4A","4B","4C"},{12,11,10,9,8,7,6,5,4,3,2,1})+LOOKUP(K7,{"1A","1B","1C","2A","2B","2C","3A","3B","3C","4A","4B","4C"},{12,11,10,9,8,7,6,5,4,3,2,1}))/2</x:f>
        <x:v>12</x:v>
      </x:c>
    </x:row>
    <x:row r="8" spans="1:22" s="8" customFormat="1" customHeight="1">
      <x:c r="A8" s="73">
        <x:v>4</x:v>
      </x:c>
      <x:c r="B8" s="193" t="s">
        <x:v>364</x:v>
      </x:c>
      <x:c r="C8" s="193" t="s">
        <x:v>252</x:v>
      </x:c>
      <x:c r="D8" s="193" t="s">
        <x:v>248</x:v>
      </x:c>
      <x:c r="E8" s="86"/>
      <x:c r="F8" s="193" t="s">
        <x:v>254</x:v>
      </x:c>
      <x:c r="G8" s="86"/>
      <x:c r="H8" s="193" t="s">
        <x:v>272</x:v>
      </x:c>
      <x:c r="I8" s="269" t="s">
        <x:v>320</x:v>
      </x:c>
      <x:c r="J8" s="270" t="s">
        <x:v>162</x:v>
      </x:c>
      <x:c r="K8" s="271" t="s">
        <x:v>225</x:v>
      </x:c>
      <x:c r="L8" s="344" t="s">
        <x:v>225</x:v>
      </x:c>
      <x:c r="M8" s="338" t="str">
        <x:f>LOOKUP(V8,{1,2,3,4,5,6,7,8,9,10,11,12},{"4C","4B","4A","3C","3B","3A","2C","2B","2A","1C","1B","1A"})</x:f>
        <x:v>1B</x:v>
      </x:c>
      <x:c r="N8" s="270" t="s">
        <x:v>162</x:v>
      </x:c>
      <x:c r="O8" s="271" t="s">
        <x:v>225</x:v>
      </x:c>
      <x:c r="P8" s="272" t="s">
        <x:v>225</x:v>
      </x:c>
      <x:c r="Q8" s="88"/>
      <x:c r="R8" s="89"/>
      <x:c r="S8" s="90"/>
      <x:c r="T8" s="223"/>
      <x:c r="V8" s="318">
        <x:f>(LOOKUP(J8,{"1A","1B","1C","2A","2B","2C","3A","3B","3C","4A","4B","4C"},{12,11,10,9,8,7,6,5,4,3,2,1})+LOOKUP(K8,{"1A","1B","1C","2A","2B","2C","3A","3B","3C","4A","4B","4C"},{12,11,10,9,8,7,6,5,4,3,2,1}))/2</x:f>
        <x:v>11.5</x:v>
      </x:c>
    </x:row>
    <x:row r="9" spans="1:22" s="14" customFormat="1" customHeight="1">
      <x:c r="A9" s="97">
        <x:v>5</x:v>
      </x:c>
      <x:c r="B9" s="54" t="s">
        <x:v>362</x:v>
      </x:c>
      <x:c r="C9" s="54" t="s">
        <x:v>252</x:v>
      </x:c>
      <x:c r="D9" s="54" t="s">
        <x:v>210</x:v>
      </x:c>
      <x:c r="E9" s="15"/>
      <x:c r="F9" s="54" t="s">
        <x:v>44</x:v>
      </x:c>
      <x:c r="G9" s="15"/>
      <x:c r="H9" s="54" t="s">
        <x:v>272</x:v>
      </x:c>
      <x:c r="I9" s="57" t="s">
        <x:v>340</x:v>
      </x:c>
      <x:c r="J9" s="92" t="s">
        <x:v>36</x:v>
      </x:c>
      <x:c r="K9" s="93" t="s">
        <x:v>230</x:v>
      </x:c>
      <x:c r="L9" s="344" t="s">
        <x:v>36</x:v>
      </x:c>
      <x:c r="M9" s="338" t="str">
        <x:f>LOOKUP(V9,{1,2,3,4,5,6,7,8,9,10,11,12},{"4C","4B","4A","3C","3B","3A","2C","2B","2A","1C","1B","1A"})</x:f>
        <x:v>3C</x:v>
      </x:c>
      <x:c r="N9" s="92" t="s">
        <x:v>36</x:v>
      </x:c>
      <x:c r="O9" s="93" t="s">
        <x:v>230</x:v>
      </x:c>
      <x:c r="P9" s="58" t="s">
        <x:v>36</x:v>
      </x:c>
      <x:c r="Q9" s="28"/>
      <x:c r="R9" s="17"/>
      <x:c r="S9" s="29"/>
      <x:c r="T9" s="29"/>
      <x:c r="V9" s="318">
        <x:f>(LOOKUP(J9,{"1A","1B","1C","2A","2B","2C","3A","3B","3C","4A","4B","4C"},{12,11,10,9,8,7,6,5,4,3,2,1})+LOOKUP(K9,{"1A","1B","1C","2A","2B","2C","3A","3B","3C","4A","4B","4C"},{12,11,10,9,8,7,6,5,4,3,2,1}))/2</x:f>
        <x:v>4.5</x:v>
      </x:c>
    </x:row>
    <x:row r="10" spans="1:22" s="14" customFormat="1" customHeight="1">
      <x:c r="A10" s="73">
        <x:v>6</x:v>
      </x:c>
      <x:c r="B10" s="56" t="s">
        <x:v>362</x:v>
      </x:c>
      <x:c r="C10" s="56" t="s">
        <x:v>381</x:v>
      </x:c>
      <x:c r="D10" s="56" t="s">
        <x:v>248</x:v>
      </x:c>
      <x:c r="E10" s="56"/>
      <x:c r="F10" s="56" t="s">
        <x:v>165</x:v>
      </x:c>
      <x:c r="G10" s="56"/>
      <x:c r="H10" s="56" t="s">
        <x:v>267</x:v>
      </x:c>
      <x:c r="I10" s="35" t="s">
        <x:v>343</x:v>
      </x:c>
      <x:c r="J10" s="34" t="s">
        <x:v>223</x:v>
      </x:c>
      <x:c r="K10" s="21" t="s">
        <x:v>225</x:v>
      </x:c>
      <x:c r="L10" s="345" t="s">
        <x:v>225</x:v>
      </x:c>
      <x:c r="M10" s="339" t="str">
        <x:f>LOOKUP(V10,{1,2,3,4,5,6,7,8,9,10,11,12},{"4C","4B","4A","3C","3B","3A","2C","2B","2A","1C","1B","1A"})</x:f>
        <x:v>1C</x:v>
      </x:c>
      <x:c r="N10" s="34" t="s">
        <x:v>223</x:v>
      </x:c>
      <x:c r="O10" s="21" t="s">
        <x:v>225</x:v>
      </x:c>
      <x:c r="P10" s="83" t="s">
        <x:v>225</x:v>
      </x:c>
      <x:c r="Q10" s="34"/>
      <x:c r="R10" s="21"/>
      <x:c r="S10" s="83"/>
      <x:c r="T10" s="80"/>
      <x:c r="V10" s="318">
        <x:f>(LOOKUP(J10,{"1A","1B","1C","2A","2B","2C","3A","3B","3C","4A","4B","4C"},{12,11,10,9,8,7,6,5,4,3,2,1})+LOOKUP(K10,{"1A","1B","1C","2A","2B","2C","3A","3B","3C","4A","4B","4C"},{12,11,10,9,8,7,6,5,4,3,2,1}))/2</x:f>
        <x:v>10</x:v>
      </x:c>
    </x:row>
    <x:row r="11" spans="1:22" s="14" customFormat="1" customHeight="1">
      <x:c r="A11" s="97">
        <x:v>7</x:v>
      </x:c>
      <x:c r="B11" s="38" t="s">
        <x:v>362</x:v>
      </x:c>
      <x:c r="C11" s="16" t="s">
        <x:v>285</x:v>
      </x:c>
      <x:c r="D11" s="16" t="s">
        <x:v>168</x:v>
      </x:c>
      <x:c r="E11" s="16"/>
      <x:c r="F11" s="16" t="s">
        <x:v>87</x:v>
      </x:c>
      <x:c r="G11" s="15"/>
      <x:c r="H11" s="16" t="s">
        <x:v>267</x:v>
      </x:c>
      <x:c r="I11" s="45" t="s">
        <x:v>343</x:v>
      </x:c>
      <x:c r="J11" s="28" t="s">
        <x:v>225</x:v>
      </x:c>
      <x:c r="K11" s="17" t="s">
        <x:v>215</x:v>
      </x:c>
      <x:c r="L11" s="345" t="s">
        <x:v>225</x:v>
      </x:c>
      <x:c r="M11" s="339" t="str">
        <x:f>LOOKUP(V11,{1,2,3,4,5,6,7,8,9,10,11,12},{"4C","4B","4A","3C","3B","3A","2C","2B","2A","1C","1B","1A"})</x:f>
        <x:v>1B</x:v>
      </x:c>
      <x:c r="N11" s="28" t="s">
        <x:v>225</x:v>
      </x:c>
      <x:c r="O11" s="17" t="s">
        <x:v>215</x:v>
      </x:c>
      <x:c r="P11" s="66" t="s">
        <x:v>225</x:v>
      </x:c>
      <x:c r="Q11" s="28"/>
      <x:c r="R11" s="17" t="s">
        <x:v>162</x:v>
      </x:c>
      <x:c r="S11" s="66"/>
      <x:c r="T11" s="42"/>
      <x:c r="V11" s="318">
        <x:f>(LOOKUP(J11,{"1A","1B","1C","2A","2B","2C","3A","3B","3C","4A","4B","4C"},{12,11,10,9,8,7,6,5,4,3,2,1})+LOOKUP(K11,{"1A","1B","1C","2A","2B","2C","3A","3B","3C","4A","4B","4C"},{12,11,10,9,8,7,6,5,4,3,2,1}))/2</x:f>
        <x:v>11</x:v>
      </x:c>
    </x:row>
    <x:row r="12" spans="1:22" s="14" customFormat="1" customHeight="1">
      <x:c r="A12" s="73">
        <x:v>8</x:v>
      </x:c>
      <x:c r="B12" s="15" t="s">
        <x:v>362</x:v>
      </x:c>
      <x:c r="C12" s="15" t="s">
        <x:v>381</x:v>
      </x:c>
      <x:c r="D12" s="16" t="s">
        <x:v>168</x:v>
      </x:c>
      <x:c r="E12" s="15"/>
      <x:c r="F12" s="16" t="s">
        <x:v>79</x:v>
      </x:c>
      <x:c r="G12" s="15"/>
      <x:c r="H12" s="16" t="s">
        <x:v>267</x:v>
      </x:c>
      <x:c r="I12" s="45" t="s">
        <x:v>341</x:v>
      </x:c>
      <x:c r="J12" s="28" t="s">
        <x:v>225</x:v>
      </x:c>
      <x:c r="K12" s="17" t="s">
        <x:v>225</x:v>
      </x:c>
      <x:c r="L12" s="345" t="s">
        <x:v>225</x:v>
      </x:c>
      <x:c r="M12" s="339" t="str">
        <x:f>LOOKUP(V12,{1,2,3,4,5,6,7,8,9,10,11,12},{"4C","4B","4A","3C","3B","3A","2C","2B","2A","1C","1B","1A"})</x:f>
        <x:v>1A</x:v>
      </x:c>
      <x:c r="N12" s="28" t="s">
        <x:v>225</x:v>
      </x:c>
      <x:c r="O12" s="17" t="s">
        <x:v>225</x:v>
      </x:c>
      <x:c r="P12" s="66" t="s">
        <x:v>225</x:v>
      </x:c>
      <x:c r="Q12" s="28"/>
      <x:c r="R12" s="17"/>
      <x:c r="S12" s="29"/>
      <x:c r="T12" s="40" t="s">
        <x:v>350</x:v>
      </x:c>
      <x:c r="V12" s="318">
        <x:f>(LOOKUP(J12,{"1A","1B","1C","2A","2B","2C","3A","3B","3C","4A","4B","4C"},{12,11,10,9,8,7,6,5,4,3,2,1})+LOOKUP(K12,{"1A","1B","1C","2A","2B","2C","3A","3B","3C","4A","4B","4C"},{12,11,10,9,8,7,6,5,4,3,2,1}))/2</x:f>
        <x:v>12</x:v>
      </x:c>
    </x:row>
    <x:row r="13" spans="1:22" s="14" customFormat="1" customHeight="1">
      <x:c r="A13" s="97">
        <x:v>9</x:v>
      </x:c>
      <x:c r="B13" s="15" t="s">
        <x:v>362</x:v>
      </x:c>
      <x:c r="C13" s="15" t="s">
        <x:v>285</x:v>
      </x:c>
      <x:c r="D13" s="15" t="s">
        <x:v>168</x:v>
      </x:c>
      <x:c r="E13" s="16"/>
      <x:c r="F13" s="16" t="s">
        <x:v>164</x:v>
      </x:c>
      <x:c r="G13" s="15"/>
      <x:c r="H13" s="15" t="s">
        <x:v>267</x:v>
      </x:c>
      <x:c r="I13" s="45" t="s">
        <x:v>339</x:v>
      </x:c>
      <x:c r="J13" s="28" t="s">
        <x:v>36</x:v>
      </x:c>
      <x:c r="K13" s="17" t="s">
        <x:v>225</x:v>
      </x:c>
      <x:c r="L13" s="345" t="s">
        <x:v>225</x:v>
      </x:c>
      <x:c r="M13" s="339" t="str">
        <x:f>LOOKUP(V13,{1,2,3,4,5,6,7,8,9,10,11,12},{"4C","4B","4A","3C","3B","3A","2C","2B","2A","1C","1B","1A"})</x:f>
        <x:v>2A</x:v>
      </x:c>
      <x:c r="N13" s="28" t="s">
        <x:v>36</x:v>
      </x:c>
      <x:c r="O13" s="17" t="s">
        <x:v>225</x:v>
      </x:c>
      <x:c r="P13" s="66" t="s">
        <x:v>225</x:v>
      </x:c>
      <x:c r="Q13" s="28" t="s">
        <x:v>175</x:v>
      </x:c>
      <x:c r="R13" s="17"/>
      <x:c r="S13" s="29"/>
      <x:c r="T13" s="42"/>
      <x:c r="V13" s="318">
        <x:f>(LOOKUP(J13,{"1A","1B","1C","2A","2B","2C","3A","3B","3C","4A","4B","4C"},{12,11,10,9,8,7,6,5,4,3,2,1})+LOOKUP(K13,{"1A","1B","1C","2A","2B","2C","3A","3B","3C","4A","4B","4C"},{12,11,10,9,8,7,6,5,4,3,2,1}))/2</x:f>
        <x:v>9</x:v>
      </x:c>
    </x:row>
    <x:row r="14" spans="1:22" s="14" customFormat="1" customHeight="1">
      <x:c r="A14" s="73">
        <x:v>10</x:v>
      </x:c>
      <x:c r="B14" s="38" t="s">
        <x:v>362</x:v>
      </x:c>
      <x:c r="C14" s="15" t="s">
        <x:v>381</x:v>
      </x:c>
      <x:c r="D14" s="15" t="s">
        <x:v>168</x:v>
      </x:c>
      <x:c r="E14" s="15"/>
      <x:c r="F14" s="16" t="s">
        <x:v>190</x:v>
      </x:c>
      <x:c r="G14" s="15"/>
      <x:c r="H14" s="15" t="s">
        <x:v>267</x:v>
      </x:c>
      <x:c r="I14" s="45" t="s">
        <x:v>341</x:v>
      </x:c>
      <x:c r="J14" s="28" t="s">
        <x:v>230</x:v>
      </x:c>
      <x:c r="K14" s="17" t="s">
        <x:v>223</x:v>
      </x:c>
      <x:c r="L14" s="345" t="s">
        <x:v>223</x:v>
      </x:c>
      <x:c r="M14" s="339" t="str">
        <x:f>LOOKUP(V14,{1,2,3,4,5,6,7,8,9,10,11,12},{"4C","4B","4A","3C","3B","3A","2C","2B","2A","1C","1B","1A"})</x:f>
        <x:v>3B</x:v>
      </x:c>
      <x:c r="N14" s="28" t="s">
        <x:v>230</x:v>
      </x:c>
      <x:c r="O14" s="17" t="s">
        <x:v>223</x:v>
      </x:c>
      <x:c r="P14" s="66" t="s">
        <x:v>223</x:v>
      </x:c>
      <x:c r="Q14" s="28"/>
      <x:c r="R14" s="17" t="s">
        <x:v>215</x:v>
      </x:c>
      <x:c r="S14" s="29"/>
      <x:c r="T14" s="42"/>
      <x:c r="V14" s="318">
        <x:f>(LOOKUP(J14,{"1A","1B","1C","2A","2B","2C","3A","3B","3C","4A","4B","4C"},{12,11,10,9,8,7,6,5,4,3,2,1})+LOOKUP(K14,{"1A","1B","1C","2A","2B","2C","3A","3B","3C","4A","4B","4C"},{12,11,10,9,8,7,6,5,4,3,2,1}))/2</x:f>
        <x:v>5.5</x:v>
      </x:c>
    </x:row>
    <x:row r="15" spans="1:22" s="14" customFormat="1" customHeight="1">
      <x:c r="A15" s="97">
        <x:v>11</x:v>
      </x:c>
      <x:c r="B15" s="56" t="s">
        <x:v>362</x:v>
      </x:c>
      <x:c r="C15" s="56" t="s">
        <x:v>285</x:v>
      </x:c>
      <x:c r="D15" s="56" t="s">
        <x:v>273</x:v>
      </x:c>
      <x:c r="E15" s="56"/>
      <x:c r="F15" s="56" t="s">
        <x:v>103</x:v>
      </x:c>
      <x:c r="G15" s="56"/>
      <x:c r="H15" s="56" t="s">
        <x:v>267</x:v>
      </x:c>
      <x:c r="I15" s="35" t="s">
        <x:v>339</x:v>
      </x:c>
      <x:c r="J15" s="34" t="s">
        <x:v>230</x:v>
      </x:c>
      <x:c r="K15" s="21" t="s">
        <x:v>158</x:v>
      </x:c>
      <x:c r="L15" s="345" t="s">
        <x:v>158</x:v>
      </x:c>
      <x:c r="M15" s="339" t="str">
        <x:f>LOOKUP(V15,{1,2,3,4,5,6,7,8,9,10,11,12},{"4C","4B","4A","3C","3B","3A","2C","2B","2A","1C","1B","1A"})</x:f>
        <x:v>3A</x:v>
      </x:c>
      <x:c r="N15" s="34" t="s">
        <x:v>230</x:v>
      </x:c>
      <x:c r="O15" s="21" t="s">
        <x:v>158</x:v>
      </x:c>
      <x:c r="P15" s="83" t="s">
        <x:v>158</x:v>
      </x:c>
      <x:c r="Q15" s="34"/>
      <x:c r="R15" s="303" t="s">
        <x:v>215</x:v>
      </x:c>
      <x:c r="S15" s="35"/>
      <x:c r="T15" s="80"/>
      <x:c r="V15" s="318">
        <x:f>(LOOKUP(J15,{"1A","1B","1C","2A","2B","2C","3A","3B","3C","4A","4B","4C"},{12,11,10,9,8,7,6,5,4,3,2,1})+LOOKUP(K15,{"1A","1B","1C","2A","2B","2C","3A","3B","3C","4A","4B","4C"},{12,11,10,9,8,7,6,5,4,3,2,1}))/2</x:f>
        <x:v>6</x:v>
      </x:c>
    </x:row>
    <x:row r="16" spans="1:22" s="14" customFormat="1" customHeight="1">
      <x:c r="A16" s="73">
        <x:v>12</x:v>
      </x:c>
      <x:c r="B16" s="15" t="s">
        <x:v>362</x:v>
      </x:c>
      <x:c r="C16" s="15" t="s">
        <x:v>285</x:v>
      </x:c>
      <x:c r="D16" s="15" t="s">
        <x:v>273</x:v>
      </x:c>
      <x:c r="E16" s="15"/>
      <x:c r="F16" s="16" t="s">
        <x:v>109</x:v>
      </x:c>
      <x:c r="G16" s="15"/>
      <x:c r="H16" s="15" t="s">
        <x:v>267</x:v>
      </x:c>
      <x:c r="I16" s="29" t="s">
        <x:v>339</x:v>
      </x:c>
      <x:c r="J16" s="28" t="s">
        <x:v>158</x:v>
      </x:c>
      <x:c r="K16" s="17" t="s">
        <x:v>230</x:v>
      </x:c>
      <x:c r="L16" s="346" t="s">
        <x:v>158</x:v>
      </x:c>
      <x:c r="M16" s="339" t="str">
        <x:f>LOOKUP(V16,{1,2,3,4,5,6,7,8,9,10,11,12},{"4C","4B","4A","3C","3B","3A","2C","2B","2A","1C","1B","1A"})</x:f>
        <x:v>3A</x:v>
      </x:c>
      <x:c r="N16" s="28" t="s">
        <x:v>158</x:v>
      </x:c>
      <x:c r="O16" s="17" t="s">
        <x:v>230</x:v>
      </x:c>
      <x:c r="P16" s="79" t="s">
        <x:v>158</x:v>
      </x:c>
      <x:c r="Q16" s="28" t="s">
        <x:v>215</x:v>
      </x:c>
      <x:c r="R16" s="17"/>
      <x:c r="S16" s="29"/>
      <x:c r="T16" s="42"/>
      <x:c r="V16" s="318">
        <x:f>(LOOKUP(J16,{"1A","1B","1C","2A","2B","2C","3A","3B","3C","4A","4B","4C"},{12,11,10,9,8,7,6,5,4,3,2,1})+LOOKUP(K16,{"1A","1B","1C","2A","2B","2C","3A","3B","3C","4A","4B","4C"},{12,11,10,9,8,7,6,5,4,3,2,1}))/2</x:f>
        <x:v>6</x:v>
      </x:c>
    </x:row>
    <x:row r="17" spans="1:22" s="14" customFormat="1" customHeight="1">
      <x:c r="A17" s="97">
        <x:v>13</x:v>
      </x:c>
      <x:c r="B17" s="38" t="s">
        <x:v>362</x:v>
      </x:c>
      <x:c r="C17" s="15" t="s">
        <x:v>381</x:v>
      </x:c>
      <x:c r="D17" s="15" t="s">
        <x:v>210</x:v>
      </x:c>
      <x:c r="E17" s="15"/>
      <x:c r="F17" s="16" t="s">
        <x:v>56</x:v>
      </x:c>
      <x:c r="G17" s="15"/>
      <x:c r="H17" s="15" t="s">
        <x:v>267</x:v>
      </x:c>
      <x:c r="I17" s="29" t="s">
        <x:v>325</x:v>
      </x:c>
      <x:c r="J17" s="28" t="s">
        <x:v>230</x:v>
      </x:c>
      <x:c r="K17" s="17" t="s">
        <x:v>230</x:v>
      </x:c>
      <x:c r="L17" s="345" t="s">
        <x:v>230</x:v>
      </x:c>
      <x:c r="M17" s="339" t="str">
        <x:f>LOOKUP(V17,{1,2,3,4,5,6,7,8,9,10,11,12},{"4C","4B","4A","3C","3B","3A","2C","2B","2A","1C","1B","1A"})</x:f>
        <x:v>4A</x:v>
      </x:c>
      <x:c r="N17" s="28" t="s">
        <x:v>230</x:v>
      </x:c>
      <x:c r="O17" s="17" t="s">
        <x:v>230</x:v>
      </x:c>
      <x:c r="P17" s="66" t="s">
        <x:v>230</x:v>
      </x:c>
      <x:c r="Q17" s="28" t="s">
        <x:v>188</x:v>
      </x:c>
      <x:c r="R17" s="17"/>
      <x:c r="S17" s="29"/>
      <x:c r="T17" s="42"/>
      <x:c r="V17" s="318">
        <x:f>(LOOKUP(J17,{"1A","1B","1C","2A","2B","2C","3A","3B","3C","4A","4B","4C"},{12,11,10,9,8,7,6,5,4,3,2,1})+LOOKUP(K17,{"1A","1B","1C","2A","2B","2C","3A","3B","3C","4A","4B","4C"},{12,11,10,9,8,7,6,5,4,3,2,1}))/2</x:f>
        <x:v>3</x:v>
      </x:c>
    </x:row>
    <x:row r="18" spans="1:22" s="14" customFormat="1" customHeight="1">
      <x:c r="A18" s="73">
        <x:v>14</x:v>
      </x:c>
      <x:c r="B18" s="15" t="s">
        <x:v>362</x:v>
      </x:c>
      <x:c r="C18" s="15" t="s">
        <x:v>285</x:v>
      </x:c>
      <x:c r="D18" s="15" t="s">
        <x:v>179</x:v>
      </x:c>
      <x:c r="E18" s="15"/>
      <x:c r="F18" s="16" t="s">
        <x:v>81</x:v>
      </x:c>
      <x:c r="G18" s="15"/>
      <x:c r="H18" s="15" t="s">
        <x:v>267</x:v>
      </x:c>
      <x:c r="I18" s="29" t="s">
        <x:v>327</x:v>
      </x:c>
      <x:c r="J18" s="34" t="s">
        <x:v>201</x:v>
      </x:c>
      <x:c r="K18" s="21" t="s">
        <x:v>238</x:v>
      </x:c>
      <x:c r="L18" s="345" t="s">
        <x:v>201</x:v>
      </x:c>
      <x:c r="M18" s="339" t="str">
        <x:f>LOOKUP(V18,{1,2,3,4,5,6,7,8,9,10,11,12},{"4C","4B","4A","3C","3B","3A","2C","2B","2A","1C","1B","1A"})</x:f>
        <x:v>4C</x:v>
      </x:c>
      <x:c r="N18" s="34" t="s">
        <x:v>201</x:v>
      </x:c>
      <x:c r="O18" s="21" t="s">
        <x:v>238</x:v>
      </x:c>
      <x:c r="P18" s="66" t="s">
        <x:v>201</x:v>
      </x:c>
      <x:c r="Q18" s="28" t="s">
        <x:v>230</x:v>
      </x:c>
      <x:c r="R18" s="17"/>
      <x:c r="S18" s="29"/>
      <x:c r="T18" s="42"/>
      <x:c r="V18" s="318">
        <x:f>(LOOKUP(J18,{"1A","1B","1C","2A","2B","2C","3A","3B","3C","4A","4B","4C"},{12,11,10,9,8,7,6,5,4,3,2,1})+LOOKUP(K18,{"1A","1B","1C","2A","2B","2C","3A","3B","3C","4A","4B","4C"},{12,11,10,9,8,7,6,5,4,3,2,1}))/2</x:f>
        <x:v>1.5</x:v>
      </x:c>
    </x:row>
    <x:row r="19" spans="1:22" s="14" customFormat="1" customHeight="1">
      <x:c r="A19" s="97">
        <x:v>15</x:v>
      </x:c>
      <x:c r="B19" s="54" t="s">
        <x:v>362</x:v>
      </x:c>
      <x:c r="C19" s="54" t="s">
        <x:v>275</x:v>
      </x:c>
      <x:c r="D19" s="61" t="s">
        <x:v>179</x:v>
      </x:c>
      <x:c r="E19" s="15"/>
      <x:c r="F19" s="61" t="s">
        <x:v>290</x:v>
      </x:c>
      <x:c r="G19" s="15"/>
      <x:c r="H19" s="54" t="s">
        <x:v>272</x:v>
      </x:c>
      <x:c r="I19" s="58" t="s">
        <x:v>344</x:v>
      </x:c>
      <x:c r="J19" s="92" t="s">
        <x:v>225</x:v>
      </x:c>
      <x:c r="K19" s="93" t="s">
        <x:v>225</x:v>
      </x:c>
      <x:c r="L19" s="344" t="s">
        <x:v>225</x:v>
      </x:c>
      <x:c r="M19" s="338" t="str">
        <x:f>LOOKUP(V19,{1,2,3,4,5,6,7,8,9,10,11,12},{"4C","4B","4A","3C","3B","3A","2C","2B","2A","1C","1B","1A"})</x:f>
        <x:v>1A</x:v>
      </x:c>
      <x:c r="N19" s="92" t="s">
        <x:v>225</x:v>
      </x:c>
      <x:c r="O19" s="93" t="s">
        <x:v>225</x:v>
      </x:c>
      <x:c r="P19" s="58" t="s">
        <x:v>225</x:v>
      </x:c>
      <x:c r="Q19" s="28"/>
      <x:c r="R19" s="17"/>
      <x:c r="S19" s="29"/>
      <x:c r="T19" s="40" t="s">
        <x:v>350</x:v>
      </x:c>
      <x:c r="V19" s="318">
        <x:f>(LOOKUP(J19,{"1A","1B","1C","2A","2B","2C","3A","3B","3C","4A","4B","4C"},{12,11,10,9,8,7,6,5,4,3,2,1})+LOOKUP(K19,{"1A","1B","1C","2A","2B","2C","3A","3B","3C","4A","4B","4C"},{12,11,10,9,8,7,6,5,4,3,2,1}))/2</x:f>
        <x:v>12</x:v>
      </x:c>
    </x:row>
    <x:row r="20" spans="1:22" s="14" customFormat="1" customHeight="1">
      <x:c r="A20" s="73">
        <x:v>16</x:v>
      </x:c>
      <x:c r="B20" s="54" t="s">
        <x:v>362</x:v>
      </x:c>
      <x:c r="C20" s="54" t="s">
        <x:v>275</x:v>
      </x:c>
      <x:c r="D20" s="54" t="s">
        <x:v>217</x:v>
      </x:c>
      <x:c r="E20" s="15"/>
      <x:c r="F20" s="61" t="s">
        <x:v>220</x:v>
      </x:c>
      <x:c r="G20" s="15"/>
      <x:c r="H20" s="54" t="s">
        <x:v>272</x:v>
      </x:c>
      <x:c r="I20" s="58" t="s">
        <x:v>366</x:v>
      </x:c>
      <x:c r="J20" s="92" t="s">
        <x:v>230</x:v>
      </x:c>
      <x:c r="K20" s="93" t="s">
        <x:v>225</x:v>
      </x:c>
      <x:c r="L20" s="344" t="s">
        <x:v>225</x:v>
      </x:c>
      <x:c r="M20" s="338" t="str">
        <x:f>LOOKUP(V20,{1,2,3,4,5,6,7,8,9,10,11,12},{"4C","4B","4A","3C","3B","3A","2C","2B","2A","1C","1B","1A"})</x:f>
        <x:v>2C</x:v>
      </x:c>
      <x:c r="N20" s="92" t="s">
        <x:v>230</x:v>
      </x:c>
      <x:c r="O20" s="93" t="s">
        <x:v>225</x:v>
      </x:c>
      <x:c r="P20" s="58" t="s">
        <x:v>225</x:v>
      </x:c>
      <x:c r="Q20" s="28"/>
      <x:c r="R20" s="17"/>
      <x:c r="S20" s="29"/>
      <x:c r="T20" s="42"/>
      <x:c r="V20" s="318">
        <x:f>(LOOKUP(J20,{"1A","1B","1C","2A","2B","2C","3A","3B","3C","4A","4B","4C"},{12,11,10,9,8,7,6,5,4,3,2,1})+LOOKUP(K20,{"1A","1B","1C","2A","2B","2C","3A","3B","3C","4A","4B","4C"},{12,11,10,9,8,7,6,5,4,3,2,1}))/2</x:f>
        <x:v>7.5</x:v>
      </x:c>
    </x:row>
    <x:row r="21" spans="1:22" s="14" customFormat="1" customHeight="1">
      <x:c r="A21" s="97">
        <x:v>17</x:v>
      </x:c>
      <x:c r="B21" s="54" t="s">
        <x:v>362</x:v>
      </x:c>
      <x:c r="C21" s="54" t="s">
        <x:v>275</x:v>
      </x:c>
      <x:c r="D21" s="54" t="s">
        <x:v>171</x:v>
      </x:c>
      <x:c r="E21" s="15"/>
      <x:c r="F21" s="61" t="s">
        <x:v>228</x:v>
      </x:c>
      <x:c r="G21" s="15"/>
      <x:c r="H21" s="54" t="s">
        <x:v>272</x:v>
      </x:c>
      <x:c r="I21" s="58" t="s">
        <x:v>340</x:v>
      </x:c>
      <x:c r="J21" s="92" t="s">
        <x:v>230</x:v>
      </x:c>
      <x:c r="K21" s="93" t="s">
        <x:v>230</x:v>
      </x:c>
      <x:c r="L21" s="344" t="s">
        <x:v>230</x:v>
      </x:c>
      <x:c r="M21" s="338" t="str">
        <x:f>LOOKUP(V21,{1,2,3,4,5,6,7,8,9,10,11,12},{"4C","4B","4A","3C","3B","3A","2C","2B","2A","1C","1B","1A"})</x:f>
        <x:v>4A</x:v>
      </x:c>
      <x:c r="N21" s="92" t="s">
        <x:v>230</x:v>
      </x:c>
      <x:c r="O21" s="93" t="s">
        <x:v>230</x:v>
      </x:c>
      <x:c r="P21" s="58" t="s">
        <x:v>230</x:v>
      </x:c>
      <x:c r="Q21" s="28"/>
      <x:c r="R21" s="17"/>
      <x:c r="S21" s="29"/>
      <x:c r="T21" s="42"/>
      <x:c r="V21" s="318">
        <x:f>(LOOKUP(J21,{"1A","1B","1C","2A","2B","2C","3A","3B","3C","4A","4B","4C"},{12,11,10,9,8,7,6,5,4,3,2,1})+LOOKUP(K21,{"1A","1B","1C","2A","2B","2C","3A","3B","3C","4A","4B","4C"},{12,11,10,9,8,7,6,5,4,3,2,1}))/2</x:f>
        <x:v>3</x:v>
      </x:c>
    </x:row>
    <x:row r="22" spans="1:22" s="14" customFormat="1" customHeight="1">
      <x:c r="A22" s="73">
        <x:v>18</x:v>
      </x:c>
      <x:c r="B22" s="54" t="s">
        <x:v>362</x:v>
      </x:c>
      <x:c r="C22" s="54" t="s">
        <x:v>275</x:v>
      </x:c>
      <x:c r="D22" s="54" t="s">
        <x:v>167</x:v>
      </x:c>
      <x:c r="E22" s="15"/>
      <x:c r="F22" s="61" t="s">
        <x:v>286</x:v>
      </x:c>
      <x:c r="G22" s="15"/>
      <x:c r="H22" s="54" t="s">
        <x:v>272</x:v>
      </x:c>
      <x:c r="I22" s="58" t="s">
        <x:v>380</x:v>
      </x:c>
      <x:c r="J22" s="122" t="s">
        <x:v>269</x:v>
      </x:c>
      <x:c r="K22" s="261" t="s">
        <x:v>269</x:v>
      </x:c>
      <x:c r="L22" s="322" t="s">
        <x:v>269</x:v>
      </x:c>
      <x:c r="M22" s="338" t="s">
        <x:v>269</x:v>
      </x:c>
      <x:c r="N22" s="122" t="s">
        <x:v>269</x:v>
      </x:c>
      <x:c r="O22" s="261" t="s">
        <x:v>269</x:v>
      </x:c>
      <x:c r="P22" s="267" t="s">
        <x:v>269</x:v>
      </x:c>
      <x:c r="Q22" s="28"/>
      <x:c r="R22" s="17"/>
      <x:c r="S22" s="29"/>
      <x:c r="T22" s="42"/>
      <x:c r="V22" s="318" t="e">
        <x:f>(LOOKUP(J22,{"1A","1B","1C","2A","2B","2C","3A","3B","3C","4A","4B","4C"},{12,11,10,9,8,7,6,5,4,3,2,1})+LOOKUP(K22,{"1A","1B","1C","2A","2B","2C","3A","3B","3C","4A","4B","4C"},{12,11,10,9,8,7,6,5,4,3,2,1}))/2</x:f>
        <x:v>#N/A</x:v>
      </x:c>
    </x:row>
    <x:row r="23" spans="1:22" s="14" customFormat="1" customHeight="1">
      <x:c r="A23" s="97">
        <x:v>19</x:v>
      </x:c>
      <x:c r="B23" s="38" t="s">
        <x:v>362</x:v>
      </x:c>
      <x:c r="C23" s="15" t="s">
        <x:v>285</x:v>
      </x:c>
      <x:c r="D23" s="15" t="s">
        <x:v>217</x:v>
      </x:c>
      <x:c r="E23" s="15"/>
      <x:c r="F23" s="16" t="s">
        <x:v>129</x:v>
      </x:c>
      <x:c r="G23" s="15"/>
      <x:c r="H23" s="15" t="s">
        <x:v>267</x:v>
      </x:c>
      <x:c r="I23" s="29" t="s">
        <x:v>339</x:v>
      </x:c>
      <x:c r="J23" s="28" t="s">
        <x:v>191</x:v>
      </x:c>
      <x:c r="K23" s="18" t="s">
        <x:v>36</x:v>
      </x:c>
      <x:c r="L23" s="345" t="s">
        <x:v>36</x:v>
      </x:c>
      <x:c r="M23" s="339" t="str">
        <x:f>LOOKUP(V23,{1,2,3,4,5,6,7,8,9,10,11,12},{"4C","4B","4A","3C","3B","3A","2C","2B","2A","1C","1B","1A"})</x:f>
        <x:v>3B</x:v>
      </x:c>
      <x:c r="N23" s="28" t="s">
        <x:v>191</x:v>
      </x:c>
      <x:c r="O23" s="18" t="s">
        <x:v>36</x:v>
      </x:c>
      <x:c r="P23" s="66" t="s">
        <x:v>36</x:v>
      </x:c>
      <x:c r="Q23" s="28" t="s">
        <x:v>158</x:v>
      </x:c>
      <x:c r="R23" s="17"/>
      <x:c r="S23" s="29"/>
      <x:c r="T23" s="42"/>
      <x:c r="V23" s="318">
        <x:f>(LOOKUP(J23,{"1A","1B","1C","2A","2B","2C","3A","3B","3C","4A","4B","4C"},{12,11,10,9,8,7,6,5,4,3,2,1})+LOOKUP(K23,{"1A","1B","1C","2A","2B","2C","3A","3B","3C","4A","4B","4C"},{12,11,10,9,8,7,6,5,4,3,2,1}))/2</x:f>
        <x:v>5</x:v>
      </x:c>
    </x:row>
    <x:row r="24" spans="1:22" s="14" customFormat="1" customHeight="1">
      <x:c r="A24" s="73">
        <x:v>20</x:v>
      </x:c>
      <x:c r="B24" s="78" t="s">
        <x:v>362</x:v>
      </x:c>
      <x:c r="C24" s="78" t="s">
        <x:v>381</x:v>
      </x:c>
      <x:c r="D24" s="78" t="s">
        <x:v>217</x:v>
      </x:c>
      <x:c r="E24" s="78"/>
      <x:c r="F24" s="78" t="s">
        <x:v>212</x:v>
      </x:c>
      <x:c r="G24" s="78"/>
      <x:c r="H24" s="78" t="s">
        <x:v>267</x:v>
      </x:c>
      <x:c r="I24" s="234" t="s">
        <x:v>339</x:v>
      </x:c>
      <x:c r="J24" s="81" t="s">
        <x:v>162</x:v>
      </x:c>
      <x:c r="K24" s="82" t="s">
        <x:v>162</x:v>
      </x:c>
      <x:c r="L24" s="345" t="s">
        <x:v>162</x:v>
      </x:c>
      <x:c r="M24" s="339" t="str">
        <x:f>LOOKUP(V24,{1,2,3,4,5,6,7,8,9,10,11,12},{"4C","4B","4A","3C","3B","3A","2C","2B","2A","1C","1B","1A"})</x:f>
        <x:v>1B</x:v>
      </x:c>
      <x:c r="N24" s="81" t="s">
        <x:v>162</x:v>
      </x:c>
      <x:c r="O24" s="82" t="s">
        <x:v>162</x:v>
      </x:c>
      <x:c r="P24" s="240" t="s">
        <x:v>162</x:v>
      </x:c>
      <x:c r="Q24" s="81"/>
      <x:c r="R24" s="82"/>
      <x:c r="S24" s="234"/>
      <x:c r="T24" s="84"/>
      <x:c r="V24" s="318">
        <x:f>(LOOKUP(J24,{"1A","1B","1C","2A","2B","2C","3A","3B","3C","4A","4B","4C"},{12,11,10,9,8,7,6,5,4,3,2,1})+LOOKUP(K24,{"1A","1B","1C","2A","2B","2C","3A","3B","3C","4A","4B","4C"},{12,11,10,9,8,7,6,5,4,3,2,1}))/2</x:f>
        <x:v>11</x:v>
      </x:c>
    </x:row>
    <x:row r="25" spans="1:22" s="14" customFormat="1" customHeight="1">
      <x:c r="A25" s="97">
        <x:v>21</x:v>
      </x:c>
      <x:c r="B25" s="15" t="s">
        <x:v>362</x:v>
      </x:c>
      <x:c r="C25" s="15" t="s">
        <x:v>381</x:v>
      </x:c>
      <x:c r="D25" s="15" t="s">
        <x:v>217</x:v>
      </x:c>
      <x:c r="E25" s="15"/>
      <x:c r="F25" s="16" t="s">
        <x:v>22</x:v>
      </x:c>
      <x:c r="G25" s="15"/>
      <x:c r="H25" s="15" t="s">
        <x:v>267</x:v>
      </x:c>
      <x:c r="I25" s="29" t="s">
        <x:v>339</x:v>
      </x:c>
      <x:c r="J25" s="28" t="s">
        <x:v>36</x:v>
      </x:c>
      <x:c r="K25" s="17" t="s">
        <x:v>215</x:v>
      </x:c>
      <x:c r="L25" s="341" t="s">
        <x:v>215</x:v>
      </x:c>
      <x:c r="M25" s="339" t="str">
        <x:f>LOOKUP(V25,{1,2,3,4,5,6,7,8,9,10,11,12},{"4C","4B","4A","3C","3B","3A","2C","2B","2A","1C","1B","1A"})</x:f>
        <x:v>2B</x:v>
      </x:c>
      <x:c r="N25" s="28" t="s">
        <x:v>36</x:v>
      </x:c>
      <x:c r="O25" s="17" t="s">
        <x:v>215</x:v>
      </x:c>
      <x:c r="P25" s="29" t="s">
        <x:v>215</x:v>
      </x:c>
      <x:c r="Q25" s="28"/>
      <x:c r="R25" s="17" t="s">
        <x:v>162</x:v>
      </x:c>
      <x:c r="S25" s="29"/>
      <x:c r="T25" s="42"/>
      <x:c r="V25" s="318">
        <x:f>(LOOKUP(J25,{"1A","1B","1C","2A","2B","2C","3A","3B","3C","4A","4B","4C"},{12,11,10,9,8,7,6,5,4,3,2,1})+LOOKUP(K25,{"1A","1B","1C","2A","2B","2C","3A","3B","3C","4A","4B","4C"},{12,11,10,9,8,7,6,5,4,3,2,1}))/2</x:f>
        <x:v>8</x:v>
      </x:c>
    </x:row>
    <x:row r="26" spans="1:22" s="14" customFormat="1" customHeight="1">
      <x:c r="A26" s="73">
        <x:v>22</x:v>
      </x:c>
      <x:c r="B26" s="38" t="s">
        <x:v>362</x:v>
      </x:c>
      <x:c r="C26" s="15" t="s">
        <x:v>381</x:v>
      </x:c>
      <x:c r="D26" s="15" t="s">
        <x:v>217</x:v>
      </x:c>
      <x:c r="E26" s="15"/>
      <x:c r="F26" s="16" t="s">
        <x:v>61</x:v>
      </x:c>
      <x:c r="G26" s="15"/>
      <x:c r="H26" s="15" t="s">
        <x:v>267</x:v>
      </x:c>
      <x:c r="I26" s="29" t="s">
        <x:v>339</x:v>
      </x:c>
      <x:c r="J26" s="28" t="s">
        <x:v>225</x:v>
      </x:c>
      <x:c r="K26" s="17" t="s">
        <x:v>225</x:v>
      </x:c>
      <x:c r="L26" s="345" t="s">
        <x:v>225</x:v>
      </x:c>
      <x:c r="M26" s="339" t="str">
        <x:f>LOOKUP(V26,{1,2,3,4,5,6,7,8,9,10,11,12},{"4C","4B","4A","3C","3B","3A","2C","2B","2A","1C","1B","1A"})</x:f>
        <x:v>1A</x:v>
      </x:c>
      <x:c r="N26" s="28" t="s">
        <x:v>225</x:v>
      </x:c>
      <x:c r="O26" s="17" t="s">
        <x:v>225</x:v>
      </x:c>
      <x:c r="P26" s="66" t="s">
        <x:v>225</x:v>
      </x:c>
      <x:c r="Q26" s="28"/>
      <x:c r="R26" s="17"/>
      <x:c r="S26" s="29"/>
      <x:c r="T26" s="40" t="s">
        <x:v>350</x:v>
      </x:c>
      <x:c r="V26" s="318">
        <x:f>(LOOKUP(J26,{"1A","1B","1C","2A","2B","2C","3A","3B","3C","4A","4B","4C"},{12,11,10,9,8,7,6,5,4,3,2,1})+LOOKUP(K26,{"1A","1B","1C","2A","2B","2C","3A","3B","3C","4A","4B","4C"},{12,11,10,9,8,7,6,5,4,3,2,1}))/2</x:f>
        <x:v>12</x:v>
      </x:c>
    </x:row>
    <x:row r="27" spans="1:22" s="14" customFormat="1" customHeight="1">
      <x:c r="A27" s="97">
        <x:v>23</x:v>
      </x:c>
      <x:c r="B27" s="15" t="s">
        <x:v>362</x:v>
      </x:c>
      <x:c r="C27" s="15" t="s">
        <x:v>285</x:v>
      </x:c>
      <x:c r="D27" s="15" t="s">
        <x:v>217</x:v>
      </x:c>
      <x:c r="E27" s="15"/>
      <x:c r="F27" s="16" t="s">
        <x:v>153</x:v>
      </x:c>
      <x:c r="G27" s="15"/>
      <x:c r="H27" s="15" t="s">
        <x:v>267</x:v>
      </x:c>
      <x:c r="I27" s="29" t="s">
        <x:v>327</x:v>
      </x:c>
      <x:c r="J27" s="28" t="s">
        <x:v>225</x:v>
      </x:c>
      <x:c r="K27" s="17" t="s">
        <x:v>225</x:v>
      </x:c>
      <x:c r="L27" s="345" t="s">
        <x:v>225</x:v>
      </x:c>
      <x:c r="M27" s="339" t="str">
        <x:f>LOOKUP(V27,{1,2,3,4,5,6,7,8,9,10,11,12},{"4C","4B","4A","3C","3B","3A","2C","2B","2A","1C","1B","1A"})</x:f>
        <x:v>1A</x:v>
      </x:c>
      <x:c r="N27" s="28" t="s">
        <x:v>225</x:v>
      </x:c>
      <x:c r="O27" s="17" t="s">
        <x:v>225</x:v>
      </x:c>
      <x:c r="P27" s="66" t="s">
        <x:v>225</x:v>
      </x:c>
      <x:c r="Q27" s="28"/>
      <x:c r="R27" s="17"/>
      <x:c r="S27" s="29"/>
      <x:c r="T27" s="40" t="s">
        <x:v>350</x:v>
      </x:c>
      <x:c r="V27" s="318">
        <x:f>(LOOKUP(J27,{"1A","1B","1C","2A","2B","2C","3A","3B","3C","4A","4B","4C"},{12,11,10,9,8,7,6,5,4,3,2,1})+LOOKUP(K27,{"1A","1B","1C","2A","2B","2C","3A","3B","3C","4A","4B","4C"},{12,11,10,9,8,7,6,5,4,3,2,1}))/2</x:f>
        <x:v>12</x:v>
      </x:c>
    </x:row>
    <x:row r="28" spans="1:22" s="14" customFormat="1" customHeight="1">
      <x:c r="A28" s="73">
        <x:v>24</x:v>
      </x:c>
      <x:c r="B28" s="15" t="s">
        <x:v>362</x:v>
      </x:c>
      <x:c r="C28" s="15" t="s">
        <x:v>381</x:v>
      </x:c>
      <x:c r="D28" s="15" t="s">
        <x:v>217</x:v>
      </x:c>
      <x:c r="E28" s="16"/>
      <x:c r="F28" s="16" t="s">
        <x:v>114</x:v>
      </x:c>
      <x:c r="G28" s="15"/>
      <x:c r="H28" s="15" t="s">
        <x:v>267</x:v>
      </x:c>
      <x:c r="I28" s="29" t="s">
        <x:v>339</x:v>
      </x:c>
      <x:c r="J28" s="28" t="s">
        <x:v>225</x:v>
      </x:c>
      <x:c r="K28" s="17" t="s">
        <x:v>225</x:v>
      </x:c>
      <x:c r="L28" s="345" t="s">
        <x:v>225</x:v>
      </x:c>
      <x:c r="M28" s="339" t="str">
        <x:f>LOOKUP(V28,{1,2,3,4,5,6,7,8,9,10,11,12},{"4C","4B","4A","3C","3B","3A","2C","2B","2A","1C","1B","1A"})</x:f>
        <x:v>1A</x:v>
      </x:c>
      <x:c r="N28" s="28" t="s">
        <x:v>225</x:v>
      </x:c>
      <x:c r="O28" s="17" t="s">
        <x:v>225</x:v>
      </x:c>
      <x:c r="P28" s="66" t="s">
        <x:v>225</x:v>
      </x:c>
      <x:c r="Q28" s="17"/>
      <x:c r="R28" s="17"/>
      <x:c r="S28" s="29"/>
      <x:c r="T28" s="40" t="s">
        <x:v>350</x:v>
      </x:c>
      <x:c r="V28" s="318">
        <x:f>(LOOKUP(J28,{"1A","1B","1C","2A","2B","2C","3A","3B","3C","4A","4B","4C"},{12,11,10,9,8,7,6,5,4,3,2,1})+LOOKUP(K28,{"1A","1B","1C","2A","2B","2C","3A","3B","3C","4A","4B","4C"},{12,11,10,9,8,7,6,5,4,3,2,1}))/2</x:f>
        <x:v>12</x:v>
      </x:c>
    </x:row>
    <x:row r="29" spans="1:22" s="14" customFormat="1" customHeight="1">
      <x:c r="A29" s="97">
        <x:v>25</x:v>
      </x:c>
      <x:c r="B29" s="72" t="s">
        <x:v>362</x:v>
      </x:c>
      <x:c r="C29" s="78" t="s">
        <x:v>359</x:v>
      </x:c>
      <x:c r="D29" s="78" t="s">
        <x:v>217</x:v>
      </x:c>
      <x:c r="E29" s="78"/>
      <x:c r="F29" s="78" t="s">
        <x:v>116</x:v>
      </x:c>
      <x:c r="G29" s="78"/>
      <x:c r="H29" s="78" t="s">
        <x:v>267</x:v>
      </x:c>
      <x:c r="I29" s="234" t="s">
        <x:v>339</x:v>
      </x:c>
      <x:c r="J29" s="81" t="s">
        <x:v>188</x:v>
      </x:c>
      <x:c r="K29" s="82" t="s">
        <x:v>188</x:v>
      </x:c>
      <x:c r="L29" s="345" t="s">
        <x:v>188</x:v>
      </x:c>
      <x:c r="M29" s="339" t="str">
        <x:f>LOOKUP(V29,{1,2,3,4,5,6,7,8,9,10,11,12},{"4C","4B","4A","3C","3B","3A","2C","2B","2A","1C","1B","1A"})</x:f>
        <x:v>3B</x:v>
      </x:c>
      <x:c r="N29" s="81" t="s">
        <x:v>188</x:v>
      </x:c>
      <x:c r="O29" s="82" t="s">
        <x:v>188</x:v>
      </x:c>
      <x:c r="P29" s="240" t="s">
        <x:v>188</x:v>
      </x:c>
      <x:c r="Q29" s="81"/>
      <x:c r="R29" s="82"/>
      <x:c r="S29" s="234"/>
      <x:c r="T29" s="84"/>
      <x:c r="V29" s="318">
        <x:f>(LOOKUP(J29,{"1A","1B","1C","2A","2B","2C","3A","3B","3C","4A","4B","4C"},{12,11,10,9,8,7,6,5,4,3,2,1})+LOOKUP(K29,{"1A","1B","1C","2A","2B","2C","3A","3B","3C","4A","4B","4C"},{12,11,10,9,8,7,6,5,4,3,2,1}))/2</x:f>
        <x:v>5</x:v>
      </x:c>
    </x:row>
    <x:row r="30" spans="1:22" s="14" customFormat="1" customHeight="1">
      <x:c r="A30" s="73">
        <x:v>26</x:v>
      </x:c>
      <x:c r="B30" s="15" t="s">
        <x:v>362</x:v>
      </x:c>
      <x:c r="C30" s="15" t="s">
        <x:v>381</x:v>
      </x:c>
      <x:c r="D30" s="15" t="s">
        <x:v>217</x:v>
      </x:c>
      <x:c r="E30" s="15"/>
      <x:c r="F30" s="16" t="s">
        <x:v>92</x:v>
      </x:c>
      <x:c r="G30" s="15"/>
      <x:c r="H30" s="15" t="s">
        <x:v>267</x:v>
      </x:c>
      <x:c r="I30" s="29" t="s">
        <x:v>339</x:v>
      </x:c>
      <x:c r="J30" s="28" t="s">
        <x:v>191</x:v>
      </x:c>
      <x:c r="K30" s="17" t="s">
        <x:v>188</x:v>
      </x:c>
      <x:c r="L30" s="345" t="s">
        <x:v>188</x:v>
      </x:c>
      <x:c r="M30" s="339" t="str">
        <x:f>LOOKUP(V30,{1,2,3,4,5,6,7,8,9,10,11,12},{"4C","4B","4A","3C","3B","3A","2C","2B","2A","1C","1B","1A"})</x:f>
        <x:v>3C</x:v>
      </x:c>
      <x:c r="N30" s="28" t="s">
        <x:v>191</x:v>
      </x:c>
      <x:c r="O30" s="364" t="s">
        <x:v>36</x:v>
      </x:c>
      <x:c r="P30" s="339" t="s">
        <x:v>36</x:v>
      </x:c>
      <x:c r="Q30" s="28"/>
      <x:c r="R30" s="17" t="s">
        <x:v>36</x:v>
      </x:c>
      <x:c r="S30" s="29"/>
      <x:c r="T30" s="42"/>
      <x:c r="V30" s="318">
        <x:f>(LOOKUP(J30,{"1A","1B","1C","2A","2B","2C","3A","3B","3C","4A","4B","4C"},{12,11,10,9,8,7,6,5,4,3,2,1})+LOOKUP(K30,{"1A","1B","1C","2A","2B","2C","3A","3B","3C","4A","4B","4C"},{12,11,10,9,8,7,6,5,4,3,2,1}))/2</x:f>
        <x:v>4.5</x:v>
      </x:c>
    </x:row>
    <x:row r="31" spans="1:22" s="14" customFormat="1" customHeight="1">
      <x:c r="A31" s="97">
        <x:v>27</x:v>
      </x:c>
      <x:c r="B31" s="78" t="s">
        <x:v>362</x:v>
      </x:c>
      <x:c r="C31" s="78" t="s">
        <x:v>285</x:v>
      </x:c>
      <x:c r="D31" s="78" t="s">
        <x:v>173</x:v>
      </x:c>
      <x:c r="E31" s="78"/>
      <x:c r="F31" s="78" t="s">
        <x:v>70</x:v>
      </x:c>
      <x:c r="G31" s="78"/>
      <x:c r="H31" s="78" t="s">
        <x:v>267</x:v>
      </x:c>
      <x:c r="I31" s="234" t="s">
        <x:v>339</x:v>
      </x:c>
      <x:c r="J31" s="81" t="s">
        <x:v>158</x:v>
      </x:c>
      <x:c r="K31" s="82" t="s">
        <x:v>230</x:v>
      </x:c>
      <x:c r="L31" s="345" t="s">
        <x:v>158</x:v>
      </x:c>
      <x:c r="M31" s="334" t="str">
        <x:f>LOOKUP(V31,{1,2,3,4,5,6,7,8,9,10,11,12},{"4C","4B","4A","3C","3B","3A","2C","2B","2A","1C","1B","1A"})</x:f>
        <x:v>3A</x:v>
      </x:c>
      <x:c r="N31" s="81" t="s">
        <x:v>158</x:v>
      </x:c>
      <x:c r="O31" s="82" t="s">
        <x:v>230</x:v>
      </x:c>
      <x:c r="P31" s="240" t="s">
        <x:v>158</x:v>
      </x:c>
      <x:c r="Q31" s="81"/>
      <x:c r="R31" s="82"/>
      <x:c r="S31" s="234"/>
      <x:c r="T31" s="84"/>
      <x:c r="V31" s="318">
        <x:f>(LOOKUP(J31,{"1A","1B","1C","2A","2B","2C","3A","3B","3C","4A","4B","4C"},{12,11,10,9,8,7,6,5,4,3,2,1})+LOOKUP(K31,{"1A","1B","1C","2A","2B","2C","3A","3B","3C","4A","4B","4C"},{12,11,10,9,8,7,6,5,4,3,2,1}))/2</x:f>
        <x:v>6</x:v>
      </x:c>
    </x:row>
    <x:row r="32" spans="1:22" s="37" customFormat="1" customHeight="1">
      <x:c r="A32" s="73">
        <x:v>28</x:v>
      </x:c>
      <x:c r="B32" s="97" t="s">
        <x:v>362</x:v>
      </x:c>
      <x:c r="C32" s="16" t="s">
        <x:v>381</x:v>
      </x:c>
      <x:c r="D32" s="16" t="s">
        <x:v>173</x:v>
      </x:c>
      <x:c r="E32" s="16"/>
      <x:c r="F32" s="16" t="s">
        <x:v>85</x:v>
      </x:c>
      <x:c r="G32" s="16"/>
      <x:c r="H32" s="16" t="s">
        <x:v>267</x:v>
      </x:c>
      <x:c r="I32" s="29" t="s">
        <x:v>325</x:v>
      </x:c>
      <x:c r="J32" s="28" t="s">
        <x:v>238</x:v>
      </x:c>
      <x:c r="K32" s="17" t="s">
        <x:v>36</x:v>
      </x:c>
      <x:c r="L32" s="345" t="s">
        <x:v>36</x:v>
      </x:c>
      <x:c r="M32" s="339" t="str">
        <x:f>LOOKUP(V32,{1,2,3,4,5,6,7,8,9,10,11,12},{"4C","4B","4A","3C","3B","3A","2C","2B","2A","1C","1B","1A"})</x:f>
        <x:v>4A</x:v>
      </x:c>
      <x:c r="N32" s="28" t="s">
        <x:v>238</x:v>
      </x:c>
      <x:c r="O32" s="364" t="s">
        <x:v>175</x:v>
      </x:c>
      <x:c r="P32" s="339" t="s">
        <x:v>175</x:v>
      </x:c>
      <x:c r="Q32" s="28"/>
      <x:c r="R32" s="17" t="s">
        <x:v>223</x:v>
      </x:c>
      <x:c r="S32" s="29"/>
      <x:c r="T32" s="42"/>
      <x:c r="V32" s="318">
        <x:f>(LOOKUP(J32,{"1A","1B","1C","2A","2B","2C","3A","3B","3C","4A","4B","4C"},{12,11,10,9,8,7,6,5,4,3,2,1})+LOOKUP(K32,{"1A","1B","1C","2A","2B","2C","3A","3B","3C","4A","4B","4C"},{12,11,10,9,8,7,6,5,4,3,2,1}))/2</x:f>
        <x:v>3.5</x:v>
      </x:c>
    </x:row>
    <x:row r="33" spans="1:22" s="14" customFormat="1" customHeight="1">
      <x:c r="A33" s="97">
        <x:v>29</x:v>
      </x:c>
      <x:c r="B33" s="15" t="s">
        <x:v>362</x:v>
      </x:c>
      <x:c r="C33" s="15" t="s">
        <x:v>285</x:v>
      </x:c>
      <x:c r="D33" s="15" t="s">
        <x:v>173</x:v>
      </x:c>
      <x:c r="E33" s="15"/>
      <x:c r="F33" s="16" t="s">
        <x:v>128</x:v>
      </x:c>
      <x:c r="G33" s="15"/>
      <x:c r="H33" s="15" t="s">
        <x:v>267</x:v>
      </x:c>
      <x:c r="I33" s="29" t="s">
        <x:v>339</x:v>
      </x:c>
      <x:c r="J33" s="31" t="s">
        <x:v>158</x:v>
      </x:c>
      <x:c r="K33" s="17" t="s">
        <x:v>230</x:v>
      </x:c>
      <x:c r="L33" s="346" t="s">
        <x:v>158</x:v>
      </x:c>
      <x:c r="M33" s="339" t="str">
        <x:f>LOOKUP(V33,{1,2,3,4,5,6,7,8,9,10,11,12},{"4C","4B","4A","3C","3B","3A","2C","2B","2A","1C","1B","1A"})</x:f>
        <x:v>3A</x:v>
      </x:c>
      <x:c r="N33" s="31" t="s">
        <x:v>158</x:v>
      </x:c>
      <x:c r="O33" s="17" t="s">
        <x:v>230</x:v>
      </x:c>
      <x:c r="P33" s="79" t="s">
        <x:v>158</x:v>
      </x:c>
      <x:c r="Q33" s="28" t="s">
        <x:v>215</x:v>
      </x:c>
      <x:c r="R33" s="17"/>
      <x:c r="S33" s="29"/>
      <x:c r="T33" s="42"/>
      <x:c r="V33" s="318">
        <x:f>(LOOKUP(J33,{"1A","1B","1C","2A","2B","2C","3A","3B","3C","4A","4B","4C"},{12,11,10,9,8,7,6,5,4,3,2,1})+LOOKUP(K33,{"1A","1B","1C","2A","2B","2C","3A","3B","3C","4A","4B","4C"},{12,11,10,9,8,7,6,5,4,3,2,1}))/2</x:f>
        <x:v>6</x:v>
      </x:c>
    </x:row>
    <x:row r="34" spans="1:22" s="14" customFormat="1" customHeight="1">
      <x:c r="A34" s="73">
        <x:v>30</x:v>
      </x:c>
      <x:c r="B34" s="15" t="s">
        <x:v>362</x:v>
      </x:c>
      <x:c r="C34" s="15" t="s">
        <x:v>285</x:v>
      </x:c>
      <x:c r="D34" s="15" t="s">
        <x:v>173</x:v>
      </x:c>
      <x:c r="E34" s="15"/>
      <x:c r="F34" s="16" t="s">
        <x:v>115</x:v>
      </x:c>
      <x:c r="G34" s="15"/>
      <x:c r="H34" s="15" t="s">
        <x:v>267</x:v>
      </x:c>
      <x:c r="I34" s="29" t="s">
        <x:v>339</x:v>
      </x:c>
      <x:c r="J34" s="28" t="s">
        <x:v>223</x:v>
      </x:c>
      <x:c r="K34" s="17" t="s">
        <x:v>238</x:v>
      </x:c>
      <x:c r="L34" s="345" t="s">
        <x:v>223</x:v>
      </x:c>
      <x:c r="M34" s="339" t="str">
        <x:f>LOOKUP(V34,{1,2,3,4,5,6,7,8,9,10,11,12},{"4C","4B","4A","3C","3B","3A","2C","2B","2A","1C","1B","1A"})</x:f>
        <x:v>3C</x:v>
      </x:c>
      <x:c r="N34" s="28" t="s">
        <x:v>223</x:v>
      </x:c>
      <x:c r="O34" s="17" t="s">
        <x:v>238</x:v>
      </x:c>
      <x:c r="P34" s="66" t="s">
        <x:v>223</x:v>
      </x:c>
      <x:c r="Q34" s="28" t="s">
        <x:v>158</x:v>
      </x:c>
      <x:c r="R34" s="17"/>
      <x:c r="S34" s="29"/>
      <x:c r="T34" s="42"/>
      <x:c r="V34" s="318">
        <x:f>(LOOKUP(J34,{"1A","1B","1C","2A","2B","2C","3A","3B","3C","4A","4B","4C"},{12,11,10,9,8,7,6,5,4,3,2,1})+LOOKUP(K34,{"1A","1B","1C","2A","2B","2C","3A","3B","3C","4A","4B","4C"},{12,11,10,9,8,7,6,5,4,3,2,1}))/2</x:f>
        <x:v>4.5</x:v>
      </x:c>
    </x:row>
    <x:row r="35" spans="1:22" s="14" customFormat="1" customHeight="1">
      <x:c r="A35" s="97">
        <x:v>31</x:v>
      </x:c>
      <x:c r="B35" s="38" t="s">
        <x:v>362</x:v>
      </x:c>
      <x:c r="C35" s="15" t="s">
        <x:v>381</x:v>
      </x:c>
      <x:c r="D35" s="15" t="s">
        <x:v>173</x:v>
      </x:c>
      <x:c r="E35" s="15"/>
      <x:c r="F35" s="16" t="s">
        <x:v>18</x:v>
      </x:c>
      <x:c r="G35" s="15"/>
      <x:c r="H35" s="62" t="s">
        <x:v>267</x:v>
      </x:c>
      <x:c r="I35" s="29" t="s">
        <x:v>325</x:v>
      </x:c>
      <x:c r="J35" s="28" t="s">
        <x:v>188</x:v>
      </x:c>
      <x:c r="K35" s="17" t="s">
        <x:v>230</x:v>
      </x:c>
      <x:c r="L35" s="345" t="s">
        <x:v>188</x:v>
      </x:c>
      <x:c r="M35" s="339" t="str">
        <x:f>LOOKUP(V35,{1,2,3,4,5,6,7,8,9,10,11,12},{"4C","4B","4A","3C","3B","3A","2C","2B","2A","1C","1B","1A"})</x:f>
        <x:v>3C</x:v>
      </x:c>
      <x:c r="N35" s="28" t="s">
        <x:v>188</x:v>
      </x:c>
      <x:c r="O35" s="17" t="s">
        <x:v>230</x:v>
      </x:c>
      <x:c r="P35" s="66" t="s">
        <x:v>188</x:v>
      </x:c>
      <x:c r="Q35" s="28" t="s">
        <x:v>36</x:v>
      </x:c>
      <x:c r="R35" s="17"/>
      <x:c r="S35" s="29"/>
      <x:c r="T35" s="42"/>
      <x:c r="V35" s="318">
        <x:f>(LOOKUP(J35,{"1A","1B","1C","2A","2B","2C","3A","3B","3C","4A","4B","4C"},{12,11,10,9,8,7,6,5,4,3,2,1})+LOOKUP(K35,{"1A","1B","1C","2A","2B","2C","3A","3B","3C","4A","4B","4C"},{12,11,10,9,8,7,6,5,4,3,2,1}))/2</x:f>
        <x:v>4</x:v>
      </x:c>
    </x:row>
    <x:row r="36" spans="1:22" s="14" customFormat="1" customHeight="1">
      <x:c r="A36" s="73">
        <x:v>32</x:v>
      </x:c>
      <x:c r="B36" s="15" t="s">
        <x:v>362</x:v>
      </x:c>
      <x:c r="C36" s="15" t="s">
        <x:v>381</x:v>
      </x:c>
      <x:c r="D36" s="15" t="s">
        <x:v>173</x:v>
      </x:c>
      <x:c r="E36" s="16"/>
      <x:c r="F36" s="16" t="s">
        <x:v>48</x:v>
      </x:c>
      <x:c r="G36" s="47"/>
      <x:c r="H36" s="15" t="s">
        <x:v>267</x:v>
      </x:c>
      <x:c r="I36" s="29" t="s">
        <x:v>325</x:v>
      </x:c>
      <x:c r="J36" s="28" t="s">
        <x:v>230</x:v>
      </x:c>
      <x:c r="K36" s="17" t="s">
        <x:v>158</x:v>
      </x:c>
      <x:c r="L36" s="345" t="s">
        <x:v>158</x:v>
      </x:c>
      <x:c r="M36" s="339" t="str">
        <x:f>LOOKUP(V36,{1,2,3,4,5,6,7,8,9,10,11,12},{"4C","4B","4A","3C","3B","3A","2C","2B","2A","1C","1B","1A"})</x:f>
        <x:v>3A</x:v>
      </x:c>
      <x:c r="N36" s="28" t="s">
        <x:v>230</x:v>
      </x:c>
      <x:c r="O36" s="17" t="s">
        <x:v>158</x:v>
      </x:c>
      <x:c r="P36" s="66" t="s">
        <x:v>158</x:v>
      </x:c>
      <x:c r="Q36" s="28"/>
      <x:c r="R36" s="17" t="s">
        <x:v>162</x:v>
      </x:c>
      <x:c r="S36" s="29"/>
      <x:c r="T36" s="42"/>
      <x:c r="V36" s="318">
        <x:f>(LOOKUP(J36,{"1A","1B","1C","2A","2B","2C","3A","3B","3C","4A","4B","4C"},{12,11,10,9,8,7,6,5,4,3,2,1})+LOOKUP(K36,{"1A","1B","1C","2A","2B","2C","3A","3B","3C","4A","4B","4C"},{12,11,10,9,8,7,6,5,4,3,2,1}))/2</x:f>
        <x:v>6</x:v>
      </x:c>
    </x:row>
    <x:row r="37" spans="1:22" s="14" customFormat="1" customHeight="1">
      <x:c r="A37" s="97">
        <x:v>33</x:v>
      </x:c>
      <x:c r="B37" s="15" t="s">
        <x:v>362</x:v>
      </x:c>
      <x:c r="C37" s="15" t="s">
        <x:v>285</x:v>
      </x:c>
      <x:c r="D37" s="15" t="s">
        <x:v>173</x:v>
      </x:c>
      <x:c r="E37" s="15"/>
      <x:c r="F37" s="16" t="s">
        <x:v>51</x:v>
      </x:c>
      <x:c r="G37" s="15"/>
      <x:c r="H37" s="15" t="s">
        <x:v>267</x:v>
      </x:c>
      <x:c r="I37" s="29" t="s">
        <x:v>339</x:v>
      </x:c>
      <x:c r="J37" s="31" t="s">
        <x:v>162</x:v>
      </x:c>
      <x:c r="K37" s="17" t="s">
        <x:v>230</x:v>
      </x:c>
      <x:c r="L37" s="345" t="s">
        <x:v>162</x:v>
      </x:c>
      <x:c r="M37" s="339" t="str">
        <x:f>LOOKUP(V37,{1,2,3,4,5,6,7,8,9,10,11,12},{"4C","4B","4A","3C","3B","3A","2C","2B","2A","1C","1B","1A"})</x:f>
        <x:v>2C</x:v>
      </x:c>
      <x:c r="N37" s="31" t="s">
        <x:v>162</x:v>
      </x:c>
      <x:c r="O37" s="17" t="s">
        <x:v>230</x:v>
      </x:c>
      <x:c r="P37" s="66" t="s">
        <x:v>162</x:v>
      </x:c>
      <x:c r="Q37" s="28"/>
      <x:c r="R37" s="17" t="s">
        <x:v>191</x:v>
      </x:c>
      <x:c r="S37" s="29"/>
      <x:c r="T37" s="42"/>
      <x:c r="V37" s="318">
        <x:f>(LOOKUP(J37,{"1A","1B","1C","2A","2B","2C","3A","3B","3C","4A","4B","4C"},{12,11,10,9,8,7,6,5,4,3,2,1})+LOOKUP(K37,{"1A","1B","1C","2A","2B","2C","3A","3B","3C","4A","4B","4C"},{12,11,10,9,8,7,6,5,4,3,2,1}))/2</x:f>
        <x:v>7</x:v>
      </x:c>
    </x:row>
    <x:row r="38" spans="1:22" s="14" customFormat="1" customHeight="1">
      <x:c r="A38" s="73">
        <x:v>34</x:v>
      </x:c>
      <x:c r="B38" s="38" t="s">
        <x:v>362</x:v>
      </x:c>
      <x:c r="C38" s="15" t="s">
        <x:v>381</x:v>
      </x:c>
      <x:c r="D38" s="15" t="s">
        <x:v>173</x:v>
      </x:c>
      <x:c r="E38" s="15"/>
      <x:c r="F38" s="16" t="s">
        <x:v>46</x:v>
      </x:c>
      <x:c r="G38" s="15"/>
      <x:c r="H38" s="15" t="s">
        <x:v>267</x:v>
      </x:c>
      <x:c r="I38" s="29" t="s">
        <x:v>325</x:v>
      </x:c>
      <x:c r="J38" s="28" t="s">
        <x:v>238</x:v>
      </x:c>
      <x:c r="K38" s="17" t="s">
        <x:v>238</x:v>
      </x:c>
      <x:c r="L38" s="345" t="s">
        <x:v>238</x:v>
      </x:c>
      <x:c r="M38" s="339" t="str">
        <x:f>LOOKUP(V38,{1,2,3,4,5,6,7,8,9,10,11,12},{"4C","4B","4A","3C","3B","3A","2C","2B","2A","1C","1B","1A"})</x:f>
        <x:v>4C</x:v>
      </x:c>
      <x:c r="N38" s="28" t="s">
        <x:v>238</x:v>
      </x:c>
      <x:c r="O38" s="364" t="s">
        <x:v>201</x:v>
      </x:c>
      <x:c r="P38" s="339" t="s">
        <x:v>201</x:v>
      </x:c>
      <x:c r="Q38" s="28"/>
      <x:c r="R38" s="17" t="s">
        <x:v>201</x:v>
      </x:c>
      <x:c r="S38" s="29"/>
      <x:c r="T38" s="42"/>
      <x:c r="V38" s="318">
        <x:f>(LOOKUP(J38,{"1A","1B","1C","2A","2B","2C","3A","3B","3C","4A","4B","4C"},{12,11,10,9,8,7,6,5,4,3,2,1})+LOOKUP(K38,{"1A","1B","1C","2A","2B","2C","3A","3B","3C","4A","4B","4C"},{12,11,10,9,8,7,6,5,4,3,2,1}))/2</x:f>
        <x:v>1</x:v>
      </x:c>
    </x:row>
    <x:row r="39" spans="1:22" s="14" customFormat="1" customHeight="1">
      <x:c r="A39" s="97">
        <x:v>35</x:v>
      </x:c>
      <x:c r="B39" s="15" t="s">
        <x:v>362</x:v>
      </x:c>
      <x:c r="C39" s="15" t="s">
        <x:v>285</x:v>
      </x:c>
      <x:c r="D39" s="15" t="s">
        <x:v>171</x:v>
      </x:c>
      <x:c r="E39" s="15"/>
      <x:c r="F39" s="16" t="s">
        <x:v>24</x:v>
      </x:c>
      <x:c r="G39" s="15"/>
      <x:c r="H39" s="15" t="s">
        <x:v>267</x:v>
      </x:c>
      <x:c r="I39" s="29" t="s">
        <x:v>339</x:v>
      </x:c>
      <x:c r="J39" s="28" t="s">
        <x:v>201</x:v>
      </x:c>
      <x:c r="K39" s="17" t="s">
        <x:v>188</x:v>
      </x:c>
      <x:c r="L39" s="345" t="s">
        <x:v>188</x:v>
      </x:c>
      <x:c r="M39" s="339" t="str">
        <x:f>LOOKUP(V39,{1,2,3,4,5,6,7,8,9,10,11,12},{"4C","4B","4A","3C","3B","3A","2C","2B","2A","1C","1B","1A"})</x:f>
        <x:v>4A</x:v>
      </x:c>
      <x:c r="N39" s="28" t="s">
        <x:v>201</x:v>
      </x:c>
      <x:c r="O39" s="17" t="s">
        <x:v>188</x:v>
      </x:c>
      <x:c r="P39" s="66" t="s">
        <x:v>188</x:v>
      </x:c>
      <x:c r="Q39" s="28"/>
      <x:c r="R39" s="17" t="s">
        <x:v>175</x:v>
      </x:c>
      <x:c r="S39" s="29"/>
      <x:c r="T39" s="42"/>
      <x:c r="V39" s="318">
        <x:f>(LOOKUP(J39,{"1A","1B","1C","2A","2B","2C","3A","3B","3C","4A","4B","4C"},{12,11,10,9,8,7,6,5,4,3,2,1})+LOOKUP(K39,{"1A","1B","1C","2A","2B","2C","3A","3B","3C","4A","4B","4C"},{12,11,10,9,8,7,6,5,4,3,2,1}))/2</x:f>
        <x:v>3.5</x:v>
      </x:c>
    </x:row>
    <x:row r="40" spans="1:22" s="14" customFormat="1" customHeight="1">
      <x:c r="A40" s="73">
        <x:v>36</x:v>
      </x:c>
      <x:c r="B40" s="15" t="s">
        <x:v>362</x:v>
      </x:c>
      <x:c r="C40" s="16" t="s">
        <x:v>381</x:v>
      </x:c>
      <x:c r="D40" s="15" t="s">
        <x:v>171</x:v>
      </x:c>
      <x:c r="E40" s="15"/>
      <x:c r="F40" s="16" t="s">
        <x:v>83</x:v>
      </x:c>
      <x:c r="G40" s="15"/>
      <x:c r="H40" s="15" t="s">
        <x:v>267</x:v>
      </x:c>
      <x:c r="I40" s="29" t="s">
        <x:v>325</x:v>
      </x:c>
      <x:c r="J40" s="28" t="s">
        <x:v>230</x:v>
      </x:c>
      <x:c r="K40" s="18" t="s">
        <x:v>215</x:v>
      </x:c>
      <x:c r="L40" s="345" t="s">
        <x:v>215</x:v>
      </x:c>
      <x:c r="M40" s="339" t="str">
        <x:f>LOOKUP(V40,{1,2,3,4,5,6,7,8,9,10,11,12},{"4C","4B","4A","3C","3B","3A","2C","2B","2A","1C","1B","1A"})</x:f>
        <x:v>3A</x:v>
      </x:c>
      <x:c r="N40" s="28" t="s">
        <x:v>230</x:v>
      </x:c>
      <x:c r="O40" s="18" t="s">
        <x:v>215</x:v>
      </x:c>
      <x:c r="P40" s="66" t="s">
        <x:v>215</x:v>
      </x:c>
      <x:c r="Q40" s="28" t="s">
        <x:v>188</x:v>
      </x:c>
      <x:c r="R40" s="17"/>
      <x:c r="S40" s="29"/>
      <x:c r="T40" s="42"/>
      <x:c r="V40" s="318">
        <x:f>(LOOKUP(J40,{"1A","1B","1C","2A","2B","2C","3A","3B","3C","4A","4B","4C"},{12,11,10,9,8,7,6,5,4,3,2,1})+LOOKUP(K40,{"1A","1B","1C","2A","2B","2C","3A","3B","3C","4A","4B","4C"},{12,11,10,9,8,7,6,5,4,3,2,1}))/2</x:f>
        <x:v>6.5</x:v>
      </x:c>
    </x:row>
    <x:row r="41" spans="1:22" s="14" customFormat="1" customHeight="1">
      <x:c r="A41" s="97">
        <x:v>37</x:v>
      </x:c>
      <x:c r="B41" s="38" t="s">
        <x:v>362</x:v>
      </x:c>
      <x:c r="C41" s="15" t="s">
        <x:v>285</x:v>
      </x:c>
      <x:c r="D41" s="15" t="s">
        <x:v>171</x:v>
      </x:c>
      <x:c r="E41" s="15"/>
      <x:c r="F41" s="16" t="s">
        <x:v>19</x:v>
      </x:c>
      <x:c r="G41" s="15"/>
      <x:c r="H41" s="15" t="s">
        <x:v>267</x:v>
      </x:c>
      <x:c r="I41" s="29" t="s">
        <x:v>339</x:v>
      </x:c>
      <x:c r="J41" s="28" t="s">
        <x:v>158</x:v>
      </x:c>
      <x:c r="K41" s="17" t="s">
        <x:v>238</x:v>
      </x:c>
      <x:c r="L41" s="345" t="s">
        <x:v>158</x:v>
      </x:c>
      <x:c r="M41" s="339" t="str">
        <x:f>LOOKUP(V41,{1,2,3,4,5,6,7,8,9,10,11,12},{"4C","4B","4A","3C","3B","3A","2C","2B","2A","1C","1B","1A"})</x:f>
        <x:v>3B</x:v>
      </x:c>
      <x:c r="N41" s="28" t="s">
        <x:v>158</x:v>
      </x:c>
      <x:c r="O41" s="17" t="s">
        <x:v>238</x:v>
      </x:c>
      <x:c r="P41" s="66" t="s">
        <x:v>158</x:v>
      </x:c>
      <x:c r="Q41" s="28" t="s">
        <x:v>215</x:v>
      </x:c>
      <x:c r="R41" s="17"/>
      <x:c r="S41" s="29"/>
      <x:c r="T41" s="42"/>
      <x:c r="V41" s="318">
        <x:f>(LOOKUP(J41,{"1A","1B","1C","2A","2B","2C","3A","3B","3C","4A","4B","4C"},{12,11,10,9,8,7,6,5,4,3,2,1})+LOOKUP(K41,{"1A","1B","1C","2A","2B","2C","3A","3B","3C","4A","4B","4C"},{12,11,10,9,8,7,6,5,4,3,2,1}))/2</x:f>
        <x:v>5</x:v>
      </x:c>
    </x:row>
    <x:row r="42" spans="1:22" s="14" customFormat="1" customHeight="1">
      <x:c r="A42" s="73">
        <x:v>38</x:v>
      </x:c>
      <x:c r="B42" s="15" t="s">
        <x:v>362</x:v>
      </x:c>
      <x:c r="C42" s="15" t="s">
        <x:v>359</x:v>
      </x:c>
      <x:c r="D42" s="15" t="s">
        <x:v>171</x:v>
      </x:c>
      <x:c r="E42" s="15"/>
      <x:c r="F42" s="16" t="s">
        <x:v>15</x:v>
      </x:c>
      <x:c r="G42" s="15"/>
      <x:c r="H42" s="15" t="s">
        <x:v>267</x:v>
      </x:c>
      <x:c r="I42" s="29" t="s">
        <x:v>341</x:v>
      </x:c>
      <x:c r="J42" s="28" t="s">
        <x:v>188</x:v>
      </x:c>
      <x:c r="K42" s="17" t="s">
        <x:v>201</x:v>
      </x:c>
      <x:c r="L42" s="345" t="s">
        <x:v>188</x:v>
      </x:c>
      <x:c r="M42" s="339" t="str">
        <x:f>LOOKUP(V42,{1,2,3,4,5,6,7,8,9,10,11,12},{"4C","4B","4A","3C","3B","3A","2C","2B","2A","1C","1B","1A"})</x:f>
        <x:v>4A</x:v>
      </x:c>
      <x:c r="N42" s="28" t="s">
        <x:v>188</x:v>
      </x:c>
      <x:c r="O42" s="17" t="s">
        <x:v>201</x:v>
      </x:c>
      <x:c r="P42" s="66" t="s">
        <x:v>188</x:v>
      </x:c>
      <x:c r="Q42" s="28"/>
      <x:c r="R42" s="17" t="s">
        <x:v>201</x:v>
      </x:c>
      <x:c r="S42" s="29"/>
      <x:c r="T42" s="42"/>
      <x:c r="V42" s="318">
        <x:f>(LOOKUP(J42,{"1A","1B","1C","2A","2B","2C","3A","3B","3C","4A","4B","4C"},{12,11,10,9,8,7,6,5,4,3,2,1})+LOOKUP(K42,{"1A","1B","1C","2A","2B","2C","3A","3B","3C","4A","4B","4C"},{12,11,10,9,8,7,6,5,4,3,2,1}))/2</x:f>
        <x:v>3.5</x:v>
      </x:c>
    </x:row>
    <x:row r="43" spans="1:22" s="126" customFormat="1" customHeight="1">
      <x:c r="A43" s="97">
        <x:v>39</x:v>
      </x:c>
      <x:c r="B43" s="15" t="s">
        <x:v>362</x:v>
      </x:c>
      <x:c r="C43" s="15" t="s">
        <x:v>285</x:v>
      </x:c>
      <x:c r="D43" s="15" t="s">
        <x:v>171</x:v>
      </x:c>
      <x:c r="E43" s="15"/>
      <x:c r="F43" s="16" t="s">
        <x:v>20</x:v>
      </x:c>
      <x:c r="G43" s="15"/>
      <x:c r="H43" s="15" t="s">
        <x:v>267</x:v>
      </x:c>
      <x:c r="I43" s="29" t="s">
        <x:v>339</x:v>
      </x:c>
      <x:c r="J43" s="31" t="s">
        <x:v>188</x:v>
      </x:c>
      <x:c r="K43" s="17" t="s">
        <x:v>238</x:v>
      </x:c>
      <x:c r="L43" s="346" t="s">
        <x:v>188</x:v>
      </x:c>
      <x:c r="M43" s="339" t="str">
        <x:f>LOOKUP(V43,{1,2,3,4,5,6,7,8,9,10,11,12},{"4C","4B","4A","3C","3B","3A","2C","2B","2A","1C","1B","1A"})</x:f>
        <x:v>4A</x:v>
      </x:c>
      <x:c r="N43" s="31" t="s">
        <x:v>188</x:v>
      </x:c>
      <x:c r="O43" s="17" t="s">
        <x:v>238</x:v>
      </x:c>
      <x:c r="P43" s="79" t="s">
        <x:v>188</x:v>
      </x:c>
      <x:c r="Q43" s="28" t="s">
        <x:v>36</x:v>
      </x:c>
      <x:c r="R43" s="51"/>
      <x:c r="S43" s="53"/>
      <x:c r="T43" s="207"/>
      <x:c r="V43" s="318">
        <x:f>(LOOKUP(J43,{"1A","1B","1C","2A","2B","2C","3A","3B","3C","4A","4B","4C"},{12,11,10,9,8,7,6,5,4,3,2,1})+LOOKUP(K43,{"1A","1B","1C","2A","2B","2C","3A","3B","3C","4A","4B","4C"},{12,11,10,9,8,7,6,5,4,3,2,1}))/2</x:f>
        <x:v>3</x:v>
      </x:c>
    </x:row>
    <x:row r="44" spans="1:22" s="14" customFormat="1" customHeight="1">
      <x:c r="A44" s="73">
        <x:v>40</x:v>
      </x:c>
      <x:c r="B44" s="38" t="s">
        <x:v>362</x:v>
      </x:c>
      <x:c r="C44" s="15" t="s">
        <x:v>381</x:v>
      </x:c>
      <x:c r="D44" s="15" t="s">
        <x:v>167</x:v>
      </x:c>
      <x:c r="E44" s="15"/>
      <x:c r="F44" s="16" t="s">
        <x:v>221</x:v>
      </x:c>
      <x:c r="G44" s="15"/>
      <x:c r="H44" s="15" t="s">
        <x:v>267</x:v>
      </x:c>
      <x:c r="I44" s="29" t="s">
        <x:v>325</x:v>
      </x:c>
      <x:c r="J44" s="31" t="s">
        <x:v>201</x:v>
      </x:c>
      <x:c r="K44" s="17" t="s">
        <x:v>191</x:v>
      </x:c>
      <x:c r="L44" s="346" t="s">
        <x:v>201</x:v>
      </x:c>
      <x:c r="M44" s="339" t="str">
        <x:f>LOOKUP(V44,{1,2,3,4,5,6,7,8,9,10,11,12},{"4C","4B","4A","3C","3B","3A","2C","2B","2A","1C","1B","1A"})</x:f>
        <x:v>4A</x:v>
      </x:c>
      <x:c r="N44" s="31" t="s">
        <x:v>201</x:v>
      </x:c>
      <x:c r="O44" s="17" t="s">
        <x:v>238</x:v>
      </x:c>
      <x:c r="P44" s="79" t="s">
        <x:v>201</x:v>
      </x:c>
      <x:c r="Q44" s="28"/>
      <x:c r="R44" s="17" t="s">
        <x:v>191</x:v>
      </x:c>
      <x:c r="S44" s="29"/>
      <x:c r="T44" s="42"/>
      <x:c r="V44" s="318">
        <x:f>(LOOKUP(J44,{"1A","1B","1C","2A","2B","2C","3A","3B","3C","4A","4B","4C"},{12,11,10,9,8,7,6,5,4,3,2,1})+LOOKUP(K44,{"1A","1B","1C","2A","2B","2C","3A","3B","3C","4A","4B","4C"},{12,11,10,9,8,7,6,5,4,3,2,1}))/2</x:f>
        <x:v>3</x:v>
      </x:c>
    </x:row>
    <x:row r="45" spans="1:22" s="14" customFormat="1" customHeight="1">
      <x:c r="A45" s="97">
        <x:v>41</x:v>
      </x:c>
      <x:c r="B45" s="60" t="s">
        <x:v>362</x:v>
      </x:c>
      <x:c r="C45" s="54" t="s">
        <x:v>265</x:v>
      </x:c>
      <x:c r="D45" s="54" t="s">
        <x:v>246</x:v>
      </x:c>
      <x:c r="E45" s="16"/>
      <x:c r="F45" s="61" t="s">
        <x:v>242</x:v>
      </x:c>
      <x:c r="G45" s="15"/>
      <x:c r="H45" s="54" t="s">
        <x:v>272</x:v>
      </x:c>
      <x:c r="I45" s="58" t="s">
        <x:v>357</x:v>
      </x:c>
      <x:c r="J45" s="92" t="s">
        <x:v>225</x:v>
      </x:c>
      <x:c r="K45" s="93" t="s">
        <x:v>225</x:v>
      </x:c>
      <x:c r="L45" s="344" t="s">
        <x:v>225</x:v>
      </x:c>
      <x:c r="M45" s="338" t="str">
        <x:f>LOOKUP(V45,{1,2,3,4,5,6,7,8,9,10,11,12},{"4C","4B","4A","3C","3B","3A","2C","2B","2A","1C","1B","1A"})</x:f>
        <x:v>1A</x:v>
      </x:c>
      <x:c r="N45" s="92" t="s">
        <x:v>225</x:v>
      </x:c>
      <x:c r="O45" s="93" t="s">
        <x:v>225</x:v>
      </x:c>
      <x:c r="P45" s="58" t="s">
        <x:v>225</x:v>
      </x:c>
      <x:c r="Q45" s="31"/>
      <x:c r="R45" s="18"/>
      <x:c r="S45" s="30"/>
      <x:c r="T45" s="40" t="s">
        <x:v>350</x:v>
      </x:c>
      <x:c r="V45" s="318">
        <x:f>(LOOKUP(J45,{"1A","1B","1C","2A","2B","2C","3A","3B","3C","4A","4B","4C"},{12,11,10,9,8,7,6,5,4,3,2,1})+LOOKUP(K45,{"1A","1B","1C","2A","2B","2C","3A","3B","3C","4A","4B","4C"},{12,11,10,9,8,7,6,5,4,3,2,1}))/2</x:f>
        <x:v>12</x:v>
      </x:c>
    </x:row>
    <x:row r="46" spans="1:22" s="8" customFormat="1" customHeight="1">
      <x:c r="A46" s="73">
        <x:v>42</x:v>
      </x:c>
      <x:c r="B46" s="86" t="s">
        <x:v>362</x:v>
      </x:c>
      <x:c r="C46" s="86" t="s">
        <x:v>381</x:v>
      </x:c>
      <x:c r="D46" s="86" t="s">
        <x:v>356</x:v>
      </x:c>
      <x:c r="E46" s="86"/>
      <x:c r="F46" s="86" t="s">
        <x:v>183</x:v>
      </x:c>
      <x:c r="G46" s="86"/>
      <x:c r="H46" s="86" t="s">
        <x:v>267</x:v>
      </x:c>
      <x:c r="I46" s="90" t="s">
        <x:v>325</x:v>
      </x:c>
      <x:c r="J46" s="88" t="s">
        <x:v>191</x:v>
      </x:c>
      <x:c r="K46" s="89" t="s">
        <x:v>238</x:v>
      </x:c>
      <x:c r="L46" s="341" t="s">
        <x:v>191</x:v>
      </x:c>
      <x:c r="M46" s="339" t="str">
        <x:f>LOOKUP(V46,{1,2,3,4,5,6,7,8,9,10,11,12},{"4C","4B","4A","3C","3B","3A","2C","2B","2A","1C","1B","1A"})</x:f>
        <x:v>4B</x:v>
      </x:c>
      <x:c r="N46" s="88" t="s">
        <x:v>191</x:v>
      </x:c>
      <x:c r="O46" s="89" t="s">
        <x:v>238</x:v>
      </x:c>
      <x:c r="P46" s="90" t="s">
        <x:v>191</x:v>
      </x:c>
      <x:c r="Q46" s="280" t="s">
        <x:v>191</x:v>
      </x:c>
      <x:c r="R46" s="264" t="s">
        <x:v>191</x:v>
      </x:c>
      <x:c r="S46" s="281"/>
      <x:c r="T46" s="282"/>
      <x:c r="V46" s="318">
        <x:f>(LOOKUP(J46,{"1A","1B","1C","2A","2B","2C","3A","3B","3C","4A","4B","4C"},{12,11,10,9,8,7,6,5,4,3,2,1})+LOOKUP(K46,{"1A","1B","1C","2A","2B","2C","3A","3B","3C","4A","4B","4C"},{12,11,10,9,8,7,6,5,4,3,2,1}))/2</x:f>
        <x:v>2.5</x:v>
      </x:c>
    </x:row>
    <x:row r="47" spans="1:22" s="14" customFormat="1" customHeight="1">
      <x:c r="A47" s="97">
        <x:v>43</x:v>
      </x:c>
      <x:c r="B47" s="15" t="s">
        <x:v>362</x:v>
      </x:c>
      <x:c r="C47" s="15" t="s">
        <x:v>285</x:v>
      </x:c>
      <x:c r="D47" s="15" t="s">
        <x:v>217</x:v>
      </x:c>
      <x:c r="E47" s="15"/>
      <x:c r="F47" s="16" t="s">
        <x:v>140</x:v>
      </x:c>
      <x:c r="G47" s="15"/>
      <x:c r="H47" s="15" t="s">
        <x:v>267</x:v>
      </x:c>
      <x:c r="I47" s="29" t="s">
        <x:v>312</x:v>
      </x:c>
      <x:c r="J47" s="28" t="s">
        <x:v>238</x:v>
      </x:c>
      <x:c r="K47" s="17" t="s">
        <x:v>215</x:v>
      </x:c>
      <x:c r="L47" s="345" t="s">
        <x:v>215</x:v>
      </x:c>
      <x:c r="M47" s="339" t="str">
        <x:f>LOOKUP(V47,{1,2,3,4,5,6,7,8,9,10,11,12},{"4C","4B","4A","3C","3B","3A","2C","2B","2A","1C","1B","1A"})</x:f>
        <x:v>3B</x:v>
      </x:c>
      <x:c r="N47" s="28" t="s">
        <x:v>238</x:v>
      </x:c>
      <x:c r="O47" s="17" t="s">
        <x:v>215</x:v>
      </x:c>
      <x:c r="P47" s="66" t="s">
        <x:v>215</x:v>
      </x:c>
      <x:c r="Q47" s="28" t="s">
        <x:v>230</x:v>
      </x:c>
      <x:c r="R47" s="17"/>
      <x:c r="S47" s="29"/>
      <x:c r="T47" s="42"/>
      <x:c r="V47" s="318">
        <x:f>(LOOKUP(J47,{"1A","1B","1C","2A","2B","2C","3A","3B","3C","4A","4B","4C"},{12,11,10,9,8,7,6,5,4,3,2,1})+LOOKUP(K47,{"1A","1B","1C","2A","2B","2C","3A","3B","3C","4A","4B","4C"},{12,11,10,9,8,7,6,5,4,3,2,1}))/2</x:f>
        <x:v>5.5</x:v>
      </x:c>
    </x:row>
    <x:row r="48" spans="1:22" s="11" customFormat="1" customHeight="1">
      <x:c r="A48" s="73">
        <x:v>44</x:v>
      </x:c>
      <x:c r="B48" s="38" t="s">
        <x:v>362</x:v>
      </x:c>
      <x:c r="C48" s="15" t="s">
        <x:v>285</x:v>
      </x:c>
      <x:c r="D48" s="15" t="s">
        <x:v>173</x:v>
      </x:c>
      <x:c r="E48" s="15"/>
      <x:c r="F48" s="16" t="s">
        <x:v>71</x:v>
      </x:c>
      <x:c r="G48" s="15"/>
      <x:c r="H48" s="15" t="s">
        <x:v>267</x:v>
      </x:c>
      <x:c r="I48" s="29" t="s">
        <x:v>312</x:v>
      </x:c>
      <x:c r="J48" s="28" t="s">
        <x:v>230</x:v>
      </x:c>
      <x:c r="K48" s="17" t="s">
        <x:v>230</x:v>
      </x:c>
      <x:c r="L48" s="345" t="s">
        <x:v>230</x:v>
      </x:c>
      <x:c r="M48" s="339" t="str">
        <x:f>LOOKUP(V48,{1,2,3,4,5,6,7,8,9,10,11,12},{"4C","4B","4A","3C","3B","3A","2C","2B","2A","1C","1B","1A"})</x:f>
        <x:v>4A</x:v>
      </x:c>
      <x:c r="N48" s="28" t="s">
        <x:v>230</x:v>
      </x:c>
      <x:c r="O48" s="17" t="s">
        <x:v>230</x:v>
      </x:c>
      <x:c r="P48" s="66" t="s">
        <x:v>230</x:v>
      </x:c>
      <x:c r="Q48" s="28"/>
      <x:c r="R48" s="17" t="s">
        <x:v>191</x:v>
      </x:c>
      <x:c r="S48" s="29"/>
      <x:c r="T48" s="42"/>
      <x:c r="U48" s="8"/>
      <x:c r="V48" s="318">
        <x:f>(LOOKUP(J48,{"1A","1B","1C","2A","2B","2C","3A","3B","3C","4A","4B","4C"},{12,11,10,9,8,7,6,5,4,3,2,1})+LOOKUP(K48,{"1A","1B","1C","2A","2B","2C","3A","3B","3C","4A","4B","4C"},{12,11,10,9,8,7,6,5,4,3,2,1}))/2</x:f>
        <x:v>3</x:v>
      </x:c>
    </x:row>
    <x:row r="49" spans="1:22" s="14" customFormat="1" customHeight="1">
      <x:c r="A49" s="67">
        <x:v>45</x:v>
      </x:c>
      <x:c r="B49" s="68" t="s">
        <x:v>362</x:v>
      </x:c>
      <x:c r="C49" s="68" t="s">
        <x:v>381</x:v>
      </x:c>
      <x:c r="D49" s="68" t="s">
        <x:v>173</x:v>
      </x:c>
      <x:c r="E49" s="68"/>
      <x:c r="F49" s="68" t="s">
        <x:v>39</x:v>
      </x:c>
      <x:c r="G49" s="68"/>
      <x:c r="H49" s="68" t="s">
        <x:v>267</x:v>
      </x:c>
      <x:c r="I49" s="69" t="s">
        <x:v>305</x:v>
      </x:c>
      <x:c r="J49" s="67" t="s">
        <x:v>238</x:v>
      </x:c>
      <x:c r="K49" s="68" t="s">
        <x:v>238</x:v>
      </x:c>
      <x:c r="L49" s="347" t="s">
        <x:v>238</x:v>
      </x:c>
      <x:c r="M49" s="348" t="str">
        <x:f>LOOKUP(V49,{1,2,3,4,5,6,7,8,9,10,11,12},{"4C","4B","4A","3C","3B","3A","2C","2B","2A","1C","1B","1A"})</x:f>
        <x:v>4C</x:v>
      </x:c>
      <x:c r="N49" s="67" t="s">
        <x:v>238</x:v>
      </x:c>
      <x:c r="O49" s="68" t="s">
        <x:v>238</x:v>
      </x:c>
      <x:c r="P49" s="130" t="s">
        <x:v>238</x:v>
      </x:c>
      <x:c r="Q49" s="67"/>
      <x:c r="R49" s="68" t="s">
        <x:v>201</x:v>
      </x:c>
      <x:c r="S49" s="69"/>
      <x:c r="T49" s="203"/>
      <x:c r="U49" s="8"/>
      <x:c r="V49" s="318">
        <x:f>(LOOKUP(J49,{"1A","1B","1C","2A","2B","2C","3A","3B","3C","4A","4B","4C"},{12,11,10,9,8,7,6,5,4,3,2,1})+LOOKUP(K49,{"1A","1B","1C","2A","2B","2C","3A","3B","3C","4A","4B","4C"},{12,11,10,9,8,7,6,5,4,3,2,1}))/2</x:f>
        <x:v>1</x:v>
      </x:c>
    </x:row>
    <x:row r="50" spans="20:22">
      <x:c r="T50" s="24"/>
      <x:c r="V50" s="314"/>
    </x:row>
    <x:row r="51" spans="22:23">
      <x:c r="V51" s="371" t="e">
        <x:f>SUM(#REF!,#REF!)</x:f>
        <x:v>#REF!</x:v>
      </x:c>
      <x:c r="W51" s="372" t="e">
        <x:f>SUM(#REF!,#REF!)</x:f>
        <x:v>#REF!</x:v>
      </x:c>
    </x:row>
  </x:sheetData>
  <x:autoFilter ref="A4:T50"/>
  <x:mergeCells count="14">
    <x:mergeCell ref="A1:T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M3"/>
    <x:mergeCell ref="N3:P3"/>
    <x:mergeCell ref="Q3:S3"/>
    <x:mergeCell ref="T3:T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 filterMode="1"/>
  <x:dimension ref="A1:W34"/>
  <x:sheetViews>
    <x:sheetView topLeftCell="A10" zoomScaleNormal="75" zoomScaleSheetLayoutView="100" workbookViewId="0">
      <x:pane xSplit="8" ySplit="0" topLeftCell="I10" activePane="topRight" state="frozen"/>
      <x:selection pane="topRight" activeCell="A34" activeCellId="0" sqref="A34:XFD48"/>
    </x:sheetView>
  </x:sheetViews>
  <x:sheetFormatPr defaultColWidth="8.88671875" defaultRowHeight="14.19999999999999928946"/>
  <x:cols>
    <x:col min="1" max="1" width="4.34765625" style="98" bestFit="1" customWidth="1"/>
    <x:col min="2" max="2" width="17.109375" style="20" customWidth="1"/>
    <x:col min="3" max="3" width="15.4453125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5.91796875" style="20" bestFit="1" customWidth="1"/>
    <x:col min="11" max="11" width="8.29296875" style="20" bestFit="1" customWidth="1"/>
    <x:col min="12" max="12" width="8.29296875" style="20" customWidth="1"/>
    <x:col min="13" max="13" width="9.51953125" style="20" bestFit="1" customWidth="1"/>
    <x:col min="14" max="14" width="5.91796875" style="20" bestFit="1" customWidth="1"/>
    <x:col min="15" max="15" width="8.29296875" style="20" bestFit="1" customWidth="1"/>
    <x:col min="16" max="16" width="5.91796875" style="20" bestFit="1" customWidth="1"/>
    <x:col min="17" max="17" width="7.40625" style="41" bestFit="1" customWidth="1"/>
    <x:col min="18" max="18" width="8.29296875" style="41" bestFit="1" customWidth="1"/>
    <x:col min="19" max="19" width="7.40625" style="41" bestFit="1" customWidth="1"/>
    <x:col min="20" max="20" width="8.88671875" style="27"/>
    <x:col min="22" max="22" width="8.88671875" style="3" bestFit="1" customWidth="1"/>
    <x:col min="23" max="23" width="8.88671875" style="2" bestFit="1" customWidth="1"/>
  </x:cols>
  <x:sheetData>
    <x:row r="1" spans="1:20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</x:row>
    <x:row r="2" spans="1:20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</x:row>
    <x:row r="3" spans="1:20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470" t="s">
        <x:v>334</x:v>
      </x:c>
      <x:c r="K3" s="471"/>
      <x:c r="L3" s="472"/>
      <x:c r="M3" s="473"/>
      <x:c r="N3" s="470" t="s">
        <x:v>332</x:v>
      </x:c>
      <x:c r="O3" s="471"/>
      <x:c r="P3" s="473"/>
      <x:c r="Q3" s="467" t="s">
        <x:v>328</x:v>
      </x:c>
      <x:c r="R3" s="468"/>
      <x:c r="S3" s="469"/>
      <x:c r="T3" s="474" t="s">
        <x:v>348</x:v>
      </x:c>
    </x:row>
    <x:row r="4" spans="1:22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119" t="s">
        <x:v>160</x:v>
      </x:c>
      <x:c r="K4" s="120" t="s">
        <x:v>381</x:v>
      </x:c>
      <x:c r="L4" s="342" t="s">
        <x:v>363</x:v>
      </x:c>
      <x:c r="M4" s="324" t="s">
        <x:v>354</x:v>
      </x:c>
      <x:c r="N4" s="119" t="s">
        <x:v>160</x:v>
      </x:c>
      <x:c r="O4" s="120" t="s">
        <x:v>381</x:v>
      </x:c>
      <x:c r="P4" s="121" t="s">
        <x:v>192</x:v>
      </x:c>
      <x:c r="Q4" s="74" t="s">
        <x:v>160</x:v>
      </x:c>
      <x:c r="R4" s="75" t="s">
        <x:v>381</x:v>
      </x:c>
      <x:c r="S4" s="76" t="s">
        <x:v>192</x:v>
      </x:c>
      <x:c r="T4" s="475"/>
      <x:c r="V4" s="317" t="s">
        <x:v>291</x:v>
      </x:c>
    </x:row>
    <x:row r="5" spans="1:22" s="14" customFormat="1" customHeight="1">
      <x:c r="A5" s="97">
        <x:v>1</x:v>
      </x:c>
      <x:c r="B5" s="59" t="s">
        <x:v>367</x:v>
      </x:c>
      <x:c r="C5" s="54" t="s">
        <x:v>275</x:v>
      </x:c>
      <x:c r="D5" s="54" t="s">
        <x:v>246</x:v>
      </x:c>
      <x:c r="E5" s="15"/>
      <x:c r="F5" s="54" t="s">
        <x:v>38</x:v>
      </x:c>
      <x:c r="G5" s="15"/>
      <x:c r="H5" s="54" t="s">
        <x:v>272</x:v>
      </x:c>
      <x:c r="I5" s="57" t="s">
        <x:v>337</x:v>
      </x:c>
      <x:c r="J5" s="92" t="s">
        <x:v>225</x:v>
      </x:c>
      <x:c r="K5" s="93" t="s">
        <x:v>225</x:v>
      </x:c>
      <x:c r="L5" s="344" t="s">
        <x:v>225</x:v>
      </x:c>
      <x:c r="M5" s="343" t="str">
        <x:f>LOOKUP(V5,{1,2,3,4,5,6,7,8,9,10,11,12},{"4C","4B","4A","3C","3B","3A","2C","2B","2A","1C","1B","1A"})</x:f>
        <x:v>1A</x:v>
      </x:c>
      <x:c r="N5" s="92" t="s">
        <x:v>225</x:v>
      </x:c>
      <x:c r="O5" s="93" t="s">
        <x:v>225</x:v>
      </x:c>
      <x:c r="P5" s="58" t="s">
        <x:v>225</x:v>
      </x:c>
      <x:c r="Q5" s="28"/>
      <x:c r="R5" s="17"/>
      <x:c r="S5" s="29"/>
      <x:c r="T5" s="40" t="s">
        <x:v>350</x:v>
      </x:c>
      <x:c r="V5" s="318">
        <x:f>(LOOKUP(J5,{"1A","1B","1C","2A","2B","2C","3A","3B","3C","4A","4B","4C"},{12,11,10,9,8,7,6,5,4,3,2,1})+LOOKUP(K5,{"1A","1B","1C","2A","2B","2C","3A","3B","3C","4A","4B","4C"},{12,11,10,9,8,7,6,5,4,3,2,1}))/2</x:f>
        <x:v>12</x:v>
      </x:c>
    </x:row>
    <x:row r="6" spans="1:22" s="14" customFormat="1" customHeight="1">
      <x:c r="A6" s="73">
        <x:v>2</x:v>
      </x:c>
      <x:c r="B6" s="54" t="s">
        <x:v>367</x:v>
      </x:c>
      <x:c r="C6" s="54" t="s">
        <x:v>275</x:v>
      </x:c>
      <x:c r="D6" s="54" t="s">
        <x:v>179</x:v>
      </x:c>
      <x:c r="E6" s="15"/>
      <x:c r="F6" s="54" t="s">
        <x:v>198</x:v>
      </x:c>
      <x:c r="G6" s="15"/>
      <x:c r="H6" s="54" t="s">
        <x:v>272</x:v>
      </x:c>
      <x:c r="I6" s="57" t="s">
        <x:v>344</x:v>
      </x:c>
      <x:c r="J6" s="92" t="s">
        <x:v>223</x:v>
      </x:c>
      <x:c r="K6" s="93" t="s">
        <x:v>215</x:v>
      </x:c>
      <x:c r="L6" s="344" t="s">
        <x:v>215</x:v>
      </x:c>
      <x:c r="M6" s="338" t="str">
        <x:f>LOOKUP(V6,{1,2,3,4,5,6,7,8,9,10,11,12},{"4C","4B","4A","3C","3B","3A","2C","2B","2A","1C","1B","1A"})</x:f>
        <x:v>2A</x:v>
      </x:c>
      <x:c r="N6" s="365" t="s">
        <x:v>158</x:v>
      </x:c>
      <x:c r="O6" s="93" t="s">
        <x:v>215</x:v>
      </x:c>
      <x:c r="P6" s="58" t="s">
        <x:v>215</x:v>
      </x:c>
      <x:c r="Q6" s="28" t="s">
        <x:v>158</x:v>
      </x:c>
      <x:c r="R6" s="17"/>
      <x:c r="S6" s="29"/>
      <x:c r="T6" s="29"/>
      <x:c r="V6" s="318">
        <x:f>(LOOKUP(J6,{"1A","1B","1C","2A","2B","2C","3A","3B","3C","4A","4B","4C"},{12,11,10,9,8,7,6,5,4,3,2,1})+LOOKUP(K6,{"1A","1B","1C","2A","2B","2C","3A","3B","3C","4A","4B","4C"},{12,11,10,9,8,7,6,5,4,3,2,1}))/2</x:f>
        <x:v>9</x:v>
      </x:c>
    </x:row>
    <x:row r="7" spans="1:22" s="14" customFormat="1" customHeight="1">
      <x:c r="A7" s="97">
        <x:v>3</x:v>
      </x:c>
      <x:c r="B7" s="296" t="s">
        <x:v>367</x:v>
      </x:c>
      <x:c r="C7" s="296" t="s">
        <x:v>275</x:v>
      </x:c>
      <x:c r="D7" s="296" t="s">
        <x:v>217</x:v>
      </x:c>
      <x:c r="E7" s="104"/>
      <x:c r="F7" s="296" t="s">
        <x:v>249</x:v>
      </x:c>
      <x:c r="G7" s="104"/>
      <x:c r="H7" s="296" t="s">
        <x:v>272</x:v>
      </x:c>
      <x:c r="I7" s="297" t="s">
        <x:v>366</x:v>
      </x:c>
      <x:c r="J7" s="298" t="s">
        <x:v>269</x:v>
      </x:c>
      <x:c r="K7" s="299" t="s">
        <x:v>269</x:v>
      </x:c>
      <x:c r="L7" s="322" t="s">
        <x:v>269</x:v>
      </x:c>
      <x:c r="M7" s="338" t="e">
        <x:f>LOOKUP(V7,{1,2,3,4,5,6,7,8,9,10,11,12},{"4C","4B","4A","3C","3B","3A","2C","2B","2A","1C","1B","1A"})</x:f>
        <x:v>#N/A</x:v>
      </x:c>
      <x:c r="N7" s="298" t="s">
        <x:v>269</x:v>
      </x:c>
      <x:c r="O7" s="299" t="s">
        <x:v>269</x:v>
      </x:c>
      <x:c r="P7" s="300" t="s">
        <x:v>269</x:v>
      </x:c>
      <x:c r="Q7" s="284"/>
      <x:c r="R7" s="285"/>
      <x:c r="S7" s="283"/>
      <x:c r="T7" s="287"/>
      <x:c r="V7" s="318" t="e">
        <x:f>(LOOKUP(J7,{"1A","1B","1C","2A","2B","2C","3A","3B","3C","4A","4B","4C"},{12,11,10,9,8,7,6,5,4,3,2,1})+LOOKUP(K7,{"1A","1B","1C","2A","2B","2C","3A","3B","3C","4A","4B","4C"},{12,11,10,9,8,7,6,5,4,3,2,1}))/2</x:f>
        <x:v>#N/A</x:v>
      </x:c>
    </x:row>
    <x:row r="8" spans="1:22" s="37" customFormat="1" customHeight="1">
      <x:c r="A8" s="73">
        <x:v>4</x:v>
      </x:c>
      <x:c r="B8" s="54" t="s">
        <x:v>367</x:v>
      </x:c>
      <x:c r="C8" s="54" t="s">
        <x:v>252</x:v>
      </x:c>
      <x:c r="D8" s="54" t="s">
        <x:v>173</x:v>
      </x:c>
      <x:c r="E8" s="15"/>
      <x:c r="F8" s="54" t="s">
        <x:v>199</x:v>
      </x:c>
      <x:c r="G8" s="16"/>
      <x:c r="H8" s="54" t="s">
        <x:v>272</x:v>
      </x:c>
      <x:c r="I8" s="57" t="s">
        <x:v>380</x:v>
      </x:c>
      <x:c r="J8" s="122" t="s">
        <x:v>269</x:v>
      </x:c>
      <x:c r="K8" s="261" t="s">
        <x:v>269</x:v>
      </x:c>
      <x:c r="L8" s="322" t="s">
        <x:v>269</x:v>
      </x:c>
      <x:c r="M8" s="338" t="e">
        <x:f>LOOKUP(V8,{1,2,3,4,5,6,7,8,9,10,11,12},{"4C","4B","4A","3C","3B","3A","2C","2B","2A","1C","1B","1A"})</x:f>
        <x:v>#N/A</x:v>
      </x:c>
      <x:c r="N8" s="122" t="s">
        <x:v>269</x:v>
      </x:c>
      <x:c r="O8" s="261" t="s">
        <x:v>269</x:v>
      </x:c>
      <x:c r="P8" s="267" t="s">
        <x:v>269</x:v>
      </x:c>
      <x:c r="Q8" s="28"/>
      <x:c r="R8" s="17"/>
      <x:c r="S8" s="29"/>
      <x:c r="T8" s="42"/>
      <x:c r="V8" s="318" t="e">
        <x:f>(LOOKUP(J8,{"1A","1B","1C","2A","2B","2C","3A","3B","3C","4A","4B","4C"},{12,11,10,9,8,7,6,5,4,3,2,1})+LOOKUP(K8,{"1A","1B","1C","2A","2B","2C","3A","3B","3C","4A","4B","4C"},{12,11,10,9,8,7,6,5,4,3,2,1}))/2</x:f>
        <x:v>#N/A</x:v>
      </x:c>
    </x:row>
    <x:row r="9" spans="1:22" s="14" customFormat="1" customHeight="1">
      <x:c r="A9" s="97">
        <x:v>5</x:v>
      </x:c>
      <x:c r="B9" s="54" t="s">
        <x:v>367</x:v>
      </x:c>
      <x:c r="C9" s="54" t="s">
        <x:v>252</x:v>
      </x:c>
      <x:c r="D9" s="54" t="s">
        <x:v>248</x:v>
      </x:c>
      <x:c r="E9" s="16"/>
      <x:c r="F9" s="54" t="s">
        <x:v>203</x:v>
      </x:c>
      <x:c r="G9" s="63"/>
      <x:c r="H9" s="54" t="s">
        <x:v>272</x:v>
      </x:c>
      <x:c r="I9" s="57" t="s">
        <x:v>320</x:v>
      </x:c>
      <x:c r="J9" s="92" t="s">
        <x:v>225</x:v>
      </x:c>
      <x:c r="K9" s="93" t="s">
        <x:v>225</x:v>
      </x:c>
      <x:c r="L9" s="344" t="s">
        <x:v>225</x:v>
      </x:c>
      <x:c r="M9" s="338" t="str">
        <x:f>LOOKUP(V9,{1,2,3,4,5,6,7,8,9,10,11,12},{"4C","4B","4A","3C","3B","3A","2C","2B","2A","1C","1B","1A"})</x:f>
        <x:v>1A</x:v>
      </x:c>
      <x:c r="N9" s="92" t="s">
        <x:v>225</x:v>
      </x:c>
      <x:c r="O9" s="93" t="s">
        <x:v>225</x:v>
      </x:c>
      <x:c r="P9" s="58" t="s">
        <x:v>225</x:v>
      </x:c>
      <x:c r="Q9" s="28"/>
      <x:c r="R9" s="17"/>
      <x:c r="S9" s="29"/>
      <x:c r="T9" s="29"/>
      <x:c r="V9" s="318">
        <x:f>(LOOKUP(J9,{"1A","1B","1C","2A","2B","2C","3A","3B","3C","4A","4B","4C"},{12,11,10,9,8,7,6,5,4,3,2,1})+LOOKUP(K9,{"1A","1B","1C","2A","2B","2C","3A","3B","3C","4A","4B","4C"},{12,11,10,9,8,7,6,5,4,3,2,1}))/2</x:f>
        <x:v>12</x:v>
      </x:c>
    </x:row>
    <x:row r="10" spans="1:22" s="14" customFormat="1" customHeight="1">
      <x:c r="A10" s="73">
        <x:v>6</x:v>
      </x:c>
      <x:c r="B10" s="38" t="s">
        <x:v>367</x:v>
      </x:c>
      <x:c r="C10" s="15" t="s">
        <x:v>285</x:v>
      </x:c>
      <x:c r="D10" s="15" t="s">
        <x:v>250</x:v>
      </x:c>
      <x:c r="E10" s="19"/>
      <x:c r="F10" s="16" t="s">
        <x:v>177</x:v>
      </x:c>
      <x:c r="G10" s="16"/>
      <x:c r="H10" s="15" t="s">
        <x:v>267</x:v>
      </x:c>
      <x:c r="I10" s="29" t="s">
        <x:v>327</x:v>
      </x:c>
      <x:c r="J10" s="28" t="s">
        <x:v>225</x:v>
      </x:c>
      <x:c r="K10" s="17" t="s">
        <x:v>225</x:v>
      </x:c>
      <x:c r="L10" s="345" t="s">
        <x:v>225</x:v>
      </x:c>
      <x:c r="M10" s="338" t="str">
        <x:f>LOOKUP(V10,{1,2,3,4,5,6,7,8,9,10,11,12},{"4C","4B","4A","3C","3B","3A","2C","2B","2A","1C","1B","1A"})</x:f>
        <x:v>1A</x:v>
      </x:c>
      <x:c r="N10" s="28" t="s">
        <x:v>225</x:v>
      </x:c>
      <x:c r="O10" s="17" t="s">
        <x:v>225</x:v>
      </x:c>
      <x:c r="P10" s="66" t="s">
        <x:v>225</x:v>
      </x:c>
      <x:c r="Q10" s="28"/>
      <x:c r="R10" s="17"/>
      <x:c r="S10" s="29"/>
      <x:c r="T10" s="42"/>
      <x:c r="V10" s="318">
        <x:f>(LOOKUP(J10,{"1A","1B","1C","2A","2B","2C","3A","3B","3C","4A","4B","4C"},{12,11,10,9,8,7,6,5,4,3,2,1})+LOOKUP(K10,{"1A","1B","1C","2A","2B","2C","3A","3B","3C","4A","4B","4C"},{12,11,10,9,8,7,6,5,4,3,2,1}))/2</x:f>
        <x:v>12</x:v>
      </x:c>
    </x:row>
    <x:row r="11" spans="1:22" s="14" customFormat="1" customHeight="1">
      <x:c r="A11" s="97">
        <x:v>7</x:v>
      </x:c>
      <x:c r="B11" s="15" t="s">
        <x:v>367</x:v>
      </x:c>
      <x:c r="C11" s="16" t="s">
        <x:v>381</x:v>
      </x:c>
      <x:c r="D11" s="16" t="s">
        <x:v>248</x:v>
      </x:c>
      <x:c r="E11" s="15"/>
      <x:c r="F11" s="16" t="s">
        <x:v>151</x:v>
      </x:c>
      <x:c r="G11" s="16"/>
      <x:c r="H11" s="16" t="s">
        <x:v>267</x:v>
      </x:c>
      <x:c r="I11" s="45" t="s">
        <x:v>327</x:v>
      </x:c>
      <x:c r="J11" s="28" t="s">
        <x:v>225</x:v>
      </x:c>
      <x:c r="K11" s="17" t="s">
        <x:v>225</x:v>
      </x:c>
      <x:c r="L11" s="345" t="s">
        <x:v>225</x:v>
      </x:c>
      <x:c r="M11" s="338" t="str">
        <x:f>LOOKUP(V11,{1,2,3,4,5,6,7,8,9,10,11,12},{"4C","4B","4A","3C","3B","3A","2C","2B","2A","1C","1B","1A"})</x:f>
        <x:v>1A</x:v>
      </x:c>
      <x:c r="N11" s="28" t="s">
        <x:v>225</x:v>
      </x:c>
      <x:c r="O11" s="17" t="s">
        <x:v>225</x:v>
      </x:c>
      <x:c r="P11" s="66" t="s">
        <x:v>225</x:v>
      </x:c>
      <x:c r="Q11" s="28"/>
      <x:c r="R11" s="17"/>
      <x:c r="S11" s="29"/>
      <x:c r="T11" s="29"/>
      <x:c r="V11" s="318">
        <x:f>(LOOKUP(J11,{"1A","1B","1C","2A","2B","2C","3A","3B","3C","4A","4B","4C"},{12,11,10,9,8,7,6,5,4,3,2,1})+LOOKUP(K11,{"1A","1B","1C","2A","2B","2C","3A","3B","3C","4A","4B","4C"},{12,11,10,9,8,7,6,5,4,3,2,1}))/2</x:f>
        <x:v>12</x:v>
      </x:c>
    </x:row>
    <x:row r="12" spans="1:22" s="14" customFormat="1" customHeight="1">
      <x:c r="A12" s="73">
        <x:v>8</x:v>
      </x:c>
      <x:c r="B12" s="15" t="s">
        <x:v>367</x:v>
      </x:c>
      <x:c r="C12" s="15" t="s">
        <x:v>381</x:v>
      </x:c>
      <x:c r="D12" s="16" t="s">
        <x:v>168</x:v>
      </x:c>
      <x:c r="E12" s="15"/>
      <x:c r="F12" s="16" t="s">
        <x:v>243</x:v>
      </x:c>
      <x:c r="G12" s="16"/>
      <x:c r="H12" s="16" t="s">
        <x:v>267</x:v>
      </x:c>
      <x:c r="I12" s="45" t="s">
        <x:v>325</x:v>
      </x:c>
      <x:c r="J12" s="28" t="s">
        <x:v>225</x:v>
      </x:c>
      <x:c r="K12" s="17" t="s">
        <x:v>162</x:v>
      </x:c>
      <x:c r="L12" s="345" t="s">
        <x:v>225</x:v>
      </x:c>
      <x:c r="M12" s="338" t="str">
        <x:f>LOOKUP(V12,{1,2,3,4,5,6,7,8,9,10,11,12},{"4C","4B","4A","3C","3B","3A","2C","2B","2A","1C","1B","1A"})</x:f>
        <x:v>1B</x:v>
      </x:c>
      <x:c r="N12" s="28" t="s">
        <x:v>225</x:v>
      </x:c>
      <x:c r="O12" s="17" t="s">
        <x:v>162</x:v>
      </x:c>
      <x:c r="P12" s="66" t="s">
        <x:v>225</x:v>
      </x:c>
      <x:c r="Q12" s="28"/>
      <x:c r="R12" s="17" t="s">
        <x:v>225</x:v>
      </x:c>
      <x:c r="S12" s="29"/>
      <x:c r="T12" s="42"/>
      <x:c r="V12" s="318">
        <x:f>(LOOKUP(J12,{"1A","1B","1C","2A","2B","2C","3A","3B","3C","4A","4B","4C"},{12,11,10,9,8,7,6,5,4,3,2,1})+LOOKUP(K12,{"1A","1B","1C","2A","2B","2C","3A","3B","3C","4A","4B","4C"},{12,11,10,9,8,7,6,5,4,3,2,1}))/2</x:f>
        <x:v>11.5</x:v>
      </x:c>
    </x:row>
    <x:row r="13" spans="1:22" s="14" customFormat="1" customHeight="1">
      <x:c r="A13" s="97">
        <x:v>9</x:v>
      </x:c>
      <x:c r="B13" s="15" t="s">
        <x:v>367</x:v>
      </x:c>
      <x:c r="C13" s="15" t="s">
        <x:v>285</x:v>
      </x:c>
      <x:c r="D13" s="15" t="s">
        <x:v>210</x:v>
      </x:c>
      <x:c r="E13" s="15"/>
      <x:c r="F13" s="16" t="s">
        <x:v>90</x:v>
      </x:c>
      <x:c r="G13" s="16"/>
      <x:c r="H13" s="15" t="s">
        <x:v>267</x:v>
      </x:c>
      <x:c r="I13" s="45" t="s">
        <x:v>327</x:v>
      </x:c>
      <x:c r="J13" s="28" t="s">
        <x:v>175</x:v>
      </x:c>
      <x:c r="K13" s="17" t="s">
        <x:v>238</x:v>
      </x:c>
      <x:c r="L13" s="345" t="s">
        <x:v>36</x:v>
      </x:c>
      <x:c r="M13" s="338" t="str">
        <x:f>LOOKUP(V13,{1,2,3,4,5,6,7,8,9,10,11,12},{"4C","4B","4A","3C","3B","3A","2C","2B","2A","1C","1B","1A"})</x:f>
        <x:v>3C</x:v>
      </x:c>
      <x:c r="N13" s="28" t="s">
        <x:v>36</x:v>
      </x:c>
      <x:c r="O13" s="17" t="s">
        <x:v>238</x:v>
      </x:c>
      <x:c r="P13" s="66" t="s">
        <x:v>36</x:v>
      </x:c>
      <x:c r="Q13" s="28" t="s">
        <x:v>175</x:v>
      </x:c>
      <x:c r="R13" s="17"/>
      <x:c r="S13" s="29"/>
      <x:c r="T13" s="42"/>
      <x:c r="V13" s="318">
        <x:f>(LOOKUP(J13,{"1A","1B","1C","2A","2B","2C","3A","3B","3C","4A","4B","4C"},{12,11,10,9,8,7,6,5,4,3,2,1})+LOOKUP(K13,{"1A","1B","1C","2A","2B","2C","3A","3B","3C","4A","4B","4C"},{12,11,10,9,8,7,6,5,4,3,2,1}))/2</x:f>
        <x:v>4</x:v>
      </x:c>
    </x:row>
    <x:row r="14" spans="1:22" s="14" customFormat="1" customHeight="1">
      <x:c r="A14" s="73">
        <x:v>10</x:v>
      </x:c>
      <x:c r="B14" s="15" t="s">
        <x:v>367</x:v>
      </x:c>
      <x:c r="C14" s="15" t="s">
        <x:v>285</x:v>
      </x:c>
      <x:c r="D14" s="15" t="s">
        <x:v>210</x:v>
      </x:c>
      <x:c r="E14" s="19"/>
      <x:c r="F14" s="16" t="s">
        <x:v>68</x:v>
      </x:c>
      <x:c r="G14" s="16"/>
      <x:c r="H14" s="15" t="s">
        <x:v>267</x:v>
      </x:c>
      <x:c r="I14" s="45" t="s">
        <x:v>327</x:v>
      </x:c>
      <x:c r="J14" s="28" t="s">
        <x:v>230</x:v>
      </x:c>
      <x:c r="K14" s="17" t="s">
        <x:v>230</x:v>
      </x:c>
      <x:c r="L14" s="345" t="s">
        <x:v>230</x:v>
      </x:c>
      <x:c r="M14" s="338" t="str">
        <x:f>LOOKUP(V14,{1,2,3,4,5,6,7,8,9,10,11,12},{"4C","4B","4A","3C","3B","3A","2C","2B","2A","1C","1B","1A"})</x:f>
        <x:v>4A</x:v>
      </x:c>
      <x:c r="N14" s="28" t="s">
        <x:v>230</x:v>
      </x:c>
      <x:c r="O14" s="17" t="s">
        <x:v>230</x:v>
      </x:c>
      <x:c r="P14" s="66" t="s">
        <x:v>230</x:v>
      </x:c>
      <x:c r="Q14" s="28" t="s">
        <x:v>191</x:v>
      </x:c>
      <x:c r="R14" s="17"/>
      <x:c r="S14" s="29"/>
      <x:c r="T14" s="42"/>
      <x:c r="V14" s="318">
        <x:f>(LOOKUP(J14,{"1A","1B","1C","2A","2B","2C","3A","3B","3C","4A","4B","4C"},{12,11,10,9,8,7,6,5,4,3,2,1})+LOOKUP(K14,{"1A","1B","1C","2A","2B","2C","3A","3B","3C","4A","4B","4C"},{12,11,10,9,8,7,6,5,4,3,2,1}))/2</x:f>
        <x:v>3</x:v>
      </x:c>
    </x:row>
    <x:row r="15" spans="1:22" s="14" customFormat="1" customHeight="1">
      <x:c r="A15" s="97">
        <x:v>11</x:v>
      </x:c>
      <x:c r="B15" s="38" t="s">
        <x:v>367</x:v>
      </x:c>
      <x:c r="C15" s="15" t="s">
        <x:v>381</x:v>
      </x:c>
      <x:c r="D15" s="15" t="s">
        <x:v>179</x:v>
      </x:c>
      <x:c r="E15" s="15"/>
      <x:c r="F15" s="16" t="s">
        <x:v>14</x:v>
      </x:c>
      <x:c r="G15" s="16"/>
      <x:c r="H15" s="15" t="s">
        <x:v>267</x:v>
      </x:c>
      <x:c r="I15" s="29" t="s">
        <x:v>325</x:v>
      </x:c>
      <x:c r="J15" s="28" t="s">
        <x:v>238</x:v>
      </x:c>
      <x:c r="K15" s="18" t="s">
        <x:v>191</x:v>
      </x:c>
      <x:c r="L15" s="345" t="s">
        <x:v>230</x:v>
      </x:c>
      <x:c r="M15" s="338" t="str">
        <x:f>LOOKUP(V15,{1,2,3,4,5,6,7,8,9,10,11,12},{"4C","4B","4A","3C","3B","3A","2C","2B","2A","1C","1B","1A"})</x:f>
        <x:v>4B</x:v>
      </x:c>
      <x:c r="N15" s="28" t="s">
        <x:v>238</x:v>
      </x:c>
      <x:c r="O15" s="18" t="s">
        <x:v>230</x:v>
      </x:c>
      <x:c r="P15" s="66" t="s">
        <x:v>230</x:v>
      </x:c>
      <x:c r="Q15" s="28"/>
      <x:c r="R15" s="17" t="s">
        <x:v>191</x:v>
      </x:c>
      <x:c r="S15" s="29"/>
      <x:c r="T15" s="42"/>
      <x:c r="V15" s="318">
        <x:f>(LOOKUP(J15,{"1A","1B","1C","2A","2B","2C","3A","3B","3C","4A","4B","4C"},{12,11,10,9,8,7,6,5,4,3,2,1})+LOOKUP(K15,{"1A","1B","1C","2A","2B","2C","3A","3B","3C","4A","4B","4C"},{12,11,10,9,8,7,6,5,4,3,2,1}))/2</x:f>
        <x:v>2.5</x:v>
      </x:c>
    </x:row>
    <x:row r="16" spans="1:22" s="14" customFormat="1" customHeight="1">
      <x:c r="A16" s="73">
        <x:v>12</x:v>
      </x:c>
      <x:c r="B16" s="78" t="s">
        <x:v>367</x:v>
      </x:c>
      <x:c r="C16" s="78" t="s">
        <x:v>285</x:v>
      </x:c>
      <x:c r="D16" s="78" t="s">
        <x:v>217</x:v>
      </x:c>
      <x:c r="E16" s="78"/>
      <x:c r="F16" s="78" t="s">
        <x:v>202</x:v>
      </x:c>
      <x:c r="G16" s="78"/>
      <x:c r="H16" s="78" t="s">
        <x:v>267</x:v>
      </x:c>
      <x:c r="I16" s="234" t="s">
        <x:v>327</x:v>
      </x:c>
      <x:c r="J16" s="81"/>
      <x:c r="K16" s="82"/>
      <x:c r="L16" s="341"/>
      <x:c r="M16" s="338"/>
      <x:c r="N16" s="81"/>
      <x:c r="O16" s="82"/>
      <x:c r="P16" s="234"/>
      <x:c r="Q16" s="81"/>
      <x:c r="R16" s="82"/>
      <x:c r="S16" s="234"/>
      <x:c r="T16" s="84"/>
      <x:c r="V16" s="318" t="e">
        <x:f>(LOOKUP(J16,{"1A","1B","1C","2A","2B","2C","3A","3B","3C","4A","4B","4C"},{12,11,10,9,8,7,6,5,4,3,2,1})+LOOKUP(K16,{"1A","1B","1C","2A","2B","2C","3A","3B","3C","4A","4B","4C"},{12,11,10,9,8,7,6,5,4,3,2,1}))/2</x:f>
        <x:v>#N/A</x:v>
      </x:c>
    </x:row>
    <x:row r="17" spans="1:22" s="14" customFormat="1" customHeight="1">
      <x:c r="A17" s="97">
        <x:v>13</x:v>
      </x:c>
      <x:c r="B17" s="15" t="s">
        <x:v>367</x:v>
      </x:c>
      <x:c r="C17" s="15" t="s">
        <x:v>285</x:v>
      </x:c>
      <x:c r="D17" s="15" t="s">
        <x:v>173</x:v>
      </x:c>
      <x:c r="E17" s="16"/>
      <x:c r="F17" s="16" t="s">
        <x:v>352</x:v>
      </x:c>
      <x:c r="G17" s="63"/>
      <x:c r="H17" s="15" t="s">
        <x:v>267</x:v>
      </x:c>
      <x:c r="I17" s="29" t="s">
        <x:v>339</x:v>
      </x:c>
      <x:c r="J17" s="28" t="s">
        <x:v>36</x:v>
      </x:c>
      <x:c r="K17" s="17" t="s">
        <x:v>162</x:v>
      </x:c>
      <x:c r="L17" s="345" t="s">
        <x:v>162</x:v>
      </x:c>
      <x:c r="M17" s="338" t="str">
        <x:f>LOOKUP(V17,{1,2,3,4,5,6,7,8,9,10,11,12},{"4C","4B","4A","3C","3B","3A","2C","2B","2A","1C","1B","1A"})</x:f>
        <x:v>2B</x:v>
      </x:c>
      <x:c r="N17" s="28" t="s">
        <x:v>36</x:v>
      </x:c>
      <x:c r="O17" s="17" t="s">
        <x:v>162</x:v>
      </x:c>
      <x:c r="P17" s="66" t="s">
        <x:v>162</x:v>
      </x:c>
      <x:c r="Q17" s="28"/>
      <x:c r="R17" s="17" t="s">
        <x:v>225</x:v>
      </x:c>
      <x:c r="S17" s="29"/>
      <x:c r="T17" s="42"/>
      <x:c r="V17" s="318">
        <x:f>(LOOKUP(J17,{"1A","1B","1C","2A","2B","2C","3A","3B","3C","4A","4B","4C"},{12,11,10,9,8,7,6,5,4,3,2,1})+LOOKUP(K17,{"1A","1B","1C","2A","2B","2C","3A","3B","3C","4A","4B","4C"},{12,11,10,9,8,7,6,5,4,3,2,1}))/2</x:f>
        <x:v>8.5</x:v>
      </x:c>
    </x:row>
    <x:row r="18" spans="1:22" s="14" customFormat="1" customHeight="1">
      <x:c r="A18" s="73">
        <x:v>14</x:v>
      </x:c>
      <x:c r="B18" s="16" t="s">
        <x:v>367</x:v>
      </x:c>
      <x:c r="C18" s="16" t="s">
        <x:v>381</x:v>
      </x:c>
      <x:c r="D18" s="16" t="s">
        <x:v>173</x:v>
      </x:c>
      <x:c r="E18" s="16"/>
      <x:c r="F18" s="16" t="s">
        <x:v>102</x:v>
      </x:c>
      <x:c r="G18" s="63"/>
      <x:c r="H18" s="16" t="s">
        <x:v>267</x:v>
      </x:c>
      <x:c r="I18" s="29" t="s">
        <x:v>325</x:v>
      </x:c>
      <x:c r="J18" s="28" t="s">
        <x:v>230</x:v>
      </x:c>
      <x:c r="K18" s="17" t="s">
        <x:v>191</x:v>
      </x:c>
      <x:c r="L18" s="345" t="s">
        <x:v>191</x:v>
      </x:c>
      <x:c r="M18" s="338" t="str">
        <x:f>LOOKUP(V18,{1,2,3,4,5,6,7,8,9,10,11,12},{"4C","4B","4A","3C","3B","3A","2C","2B","2A","1C","1B","1A"})</x:f>
        <x:v>4A</x:v>
      </x:c>
      <x:c r="N18" s="28" t="s">
        <x:v>230</x:v>
      </x:c>
      <x:c r="O18" s="17" t="s">
        <x:v>191</x:v>
      </x:c>
      <x:c r="P18" s="66" t="s">
        <x:v>191</x:v>
      </x:c>
      <x:c r="Q18" s="28"/>
      <x:c r="R18" s="17" t="s">
        <x:v>188</x:v>
      </x:c>
      <x:c r="S18" s="29"/>
      <x:c r="T18" s="42"/>
      <x:c r="V18" s="318">
        <x:f>(LOOKUP(J18,{"1A","1B","1C","2A","2B","2C","3A","3B","3C","4A","4B","4C"},{12,11,10,9,8,7,6,5,4,3,2,1})+LOOKUP(K18,{"1A","1B","1C","2A","2B","2C","3A","3B","3C","4A","4B","4C"},{12,11,10,9,8,7,6,5,4,3,2,1}))/2</x:f>
        <x:v>3.5</x:v>
      </x:c>
    </x:row>
    <x:row r="19" spans="1:22" s="14" customFormat="1" customHeight="1">
      <x:c r="A19" s="97">
        <x:v>15</x:v>
      </x:c>
      <x:c r="B19" s="56" t="s">
        <x:v>367</x:v>
      </x:c>
      <x:c r="C19" s="56" t="s">
        <x:v>381</x:v>
      </x:c>
      <x:c r="D19" s="56" t="s">
        <x:v>173</x:v>
      </x:c>
      <x:c r="E19" s="56"/>
      <x:c r="F19" s="56" t="s">
        <x:v>99</x:v>
      </x:c>
      <x:c r="G19" s="106"/>
      <x:c r="H19" s="56" t="s">
        <x:v>267</x:v>
      </x:c>
      <x:c r="I19" s="35" t="s">
        <x:v>325</x:v>
      </x:c>
      <x:c r="J19" s="34" t="s">
        <x:v>238</x:v>
      </x:c>
      <x:c r="K19" s="21" t="s">
        <x:v>230</x:v>
      </x:c>
      <x:c r="L19" s="345" t="s">
        <x:v>230</x:v>
      </x:c>
      <x:c r="M19" s="338" t="str">
        <x:f>LOOKUP(V19,{1,2,3,4,5,6,7,8,9,10,11,12},{"4C","4B","4A","3C","3B","3A","2C","2B","2A","1C","1B","1A"})</x:f>
        <x:v>4B</x:v>
      </x:c>
      <x:c r="N19" s="34" t="s">
        <x:v>238</x:v>
      </x:c>
      <x:c r="O19" s="21" t="s">
        <x:v>230</x:v>
      </x:c>
      <x:c r="P19" s="83" t="s">
        <x:v>230</x:v>
      </x:c>
      <x:c r="Q19" s="34"/>
      <x:c r="R19" s="21" t="s">
        <x:v>191</x:v>
      </x:c>
      <x:c r="S19" s="35"/>
      <x:c r="T19" s="80"/>
      <x:c r="V19" s="318">
        <x:f>(LOOKUP(J19,{"1A","1B","1C","2A","2B","2C","3A","3B","3C","4A","4B","4C"},{12,11,10,9,8,7,6,5,4,3,2,1})+LOOKUP(K19,{"1A","1B","1C","2A","2B","2C","3A","3B","3C","4A","4B","4C"},{12,11,10,9,8,7,6,5,4,3,2,1}))/2</x:f>
        <x:v>2</x:v>
      </x:c>
    </x:row>
    <x:row r="20" spans="1:22" s="14" customFormat="1" customHeight="1">
      <x:c r="A20" s="73">
        <x:v>16</x:v>
      </x:c>
      <x:c r="B20" s="38" t="s">
        <x:v>367</x:v>
      </x:c>
      <x:c r="C20" s="15" t="s">
        <x:v>285</x:v>
      </x:c>
      <x:c r="D20" s="15" t="s">
        <x:v>173</x:v>
      </x:c>
      <x:c r="E20" s="15"/>
      <x:c r="F20" s="16" t="s">
        <x:v>77</x:v>
      </x:c>
      <x:c r="G20" s="16"/>
      <x:c r="H20" s="15" t="s">
        <x:v>267</x:v>
      </x:c>
      <x:c r="I20" s="29" t="s">
        <x:v>327</x:v>
      </x:c>
      <x:c r="J20" s="28" t="s">
        <x:v>188</x:v>
      </x:c>
      <x:c r="K20" s="17" t="s">
        <x:v>238</x:v>
      </x:c>
      <x:c r="L20" s="345" t="s">
        <x:v>188</x:v>
      </x:c>
      <x:c r="M20" s="338" t="str">
        <x:f>LOOKUP(V20,{1,2,3,4,5,6,7,8,9,10,11,12},{"4C","4B","4A","3C","3B","3A","2C","2B","2A","1C","1B","1A"})</x:f>
        <x:v>4A</x:v>
      </x:c>
      <x:c r="N20" s="28" t="s">
        <x:v>36</x:v>
      </x:c>
      <x:c r="O20" s="17" t="s">
        <x:v>238</x:v>
      </x:c>
      <x:c r="P20" s="66" t="s">
        <x:v>36</x:v>
      </x:c>
      <x:c r="Q20" s="28" t="s">
        <x:v>36</x:v>
      </x:c>
      <x:c r="R20" s="17"/>
      <x:c r="S20" s="29"/>
      <x:c r="T20" s="42"/>
      <x:c r="V20" s="318">
        <x:f>(LOOKUP(J20,{"1A","1B","1C","2A","2B","2C","3A","3B","3C","4A","4B","4C"},{12,11,10,9,8,7,6,5,4,3,2,1})+LOOKUP(K20,{"1A","1B","1C","2A","2B","2C","3A","3B","3C","4A","4B","4C"},{12,11,10,9,8,7,6,5,4,3,2,1}))/2</x:f>
        <x:v>3</x:v>
      </x:c>
    </x:row>
    <x:row r="21" spans="1:22" s="43" customFormat="1" customHeight="1">
      <x:c r="A21" s="97">
        <x:v>17</x:v>
      </x:c>
      <x:c r="B21" s="15" t="s">
        <x:v>367</x:v>
      </x:c>
      <x:c r="C21" s="15" t="s">
        <x:v>381</x:v>
      </x:c>
      <x:c r="D21" s="15" t="s">
        <x:v>173</x:v>
      </x:c>
      <x:c r="E21" s="19"/>
      <x:c r="F21" s="16" t="s">
        <x:v>29</x:v>
      </x:c>
      <x:c r="G21" s="16"/>
      <x:c r="H21" s="15" t="s">
        <x:v>267</x:v>
      </x:c>
      <x:c r="I21" s="29" t="s">
        <x:v>325</x:v>
      </x:c>
      <x:c r="J21" s="28" t="s">
        <x:v>188</x:v>
      </x:c>
      <x:c r="K21" s="17" t="s">
        <x:v>238</x:v>
      </x:c>
      <x:c r="L21" s="345" t="s">
        <x:v>188</x:v>
      </x:c>
      <x:c r="M21" s="338" t="str">
        <x:f>LOOKUP(V21,{1,2,3,4,5,6,7,8,9,10,11,12},{"4C","4B","4A","3C","3B","3A","2C","2B","2A","1C","1B","1A"})</x:f>
        <x:v>4A</x:v>
      </x:c>
      <x:c r="N21" s="28" t="s">
        <x:v>188</x:v>
      </x:c>
      <x:c r="O21" s="17" t="s">
        <x:v>238</x:v>
      </x:c>
      <x:c r="P21" s="66" t="s">
        <x:v>188</x:v>
      </x:c>
      <x:c r="Q21" s="28" t="s">
        <x:v>36</x:v>
      </x:c>
      <x:c r="R21" s="17"/>
      <x:c r="S21" s="29"/>
      <x:c r="T21" s="42"/>
      <x:c r="V21" s="318">
        <x:f>(LOOKUP(J21,{"1A","1B","1C","2A","2B","2C","3A","3B","3C","4A","4B","4C"},{12,11,10,9,8,7,6,5,4,3,2,1})+LOOKUP(K21,{"1A","1B","1C","2A","2B","2C","3A","3B","3C","4A","4B","4C"},{12,11,10,9,8,7,6,5,4,3,2,1}))/2</x:f>
        <x:v>3</x:v>
      </x:c>
    </x:row>
    <x:row r="22" spans="1:22" s="14" customFormat="1" customHeight="1">
      <x:c r="A22" s="73">
        <x:v>18</x:v>
      </x:c>
      <x:c r="B22" s="15" t="s">
        <x:v>367</x:v>
      </x:c>
      <x:c r="C22" s="15" t="s">
        <x:v>381</x:v>
      </x:c>
      <x:c r="D22" s="15" t="s">
        <x:v>173</x:v>
      </x:c>
      <x:c r="E22" s="15"/>
      <x:c r="F22" s="16" t="s">
        <x:v>117</x:v>
      </x:c>
      <x:c r="G22" s="16"/>
      <x:c r="H22" s="15" t="s">
        <x:v>267</x:v>
      </x:c>
      <x:c r="I22" s="29" t="s">
        <x:v>325</x:v>
      </x:c>
      <x:c r="J22" s="28" t="s">
        <x:v>238</x:v>
      </x:c>
      <x:c r="K22" s="17" t="s">
        <x:v>191</x:v>
      </x:c>
      <x:c r="L22" s="345" t="s">
        <x:v>191</x:v>
      </x:c>
      <x:c r="M22" s="338" t="str">
        <x:f>LOOKUP(V22,{1,2,3,4,5,6,7,8,9,10,11,12},{"4C","4B","4A","3C","3B","3A","2C","2B","2A","1C","1B","1A"})</x:f>
        <x:v>4B</x:v>
      </x:c>
      <x:c r="N22" s="28" t="s">
        <x:v>238</x:v>
      </x:c>
      <x:c r="O22" s="17" t="s">
        <x:v>191</x:v>
      </x:c>
      <x:c r="P22" s="66" t="s">
        <x:v>191</x:v>
      </x:c>
      <x:c r="Q22" s="28"/>
      <x:c r="R22" s="17" t="s">
        <x:v>188</x:v>
      </x:c>
      <x:c r="S22" s="29"/>
      <x:c r="T22" s="42"/>
      <x:c r="V22" s="318">
        <x:f>(LOOKUP(J22,{"1A","1B","1C","2A","2B","2C","3A","3B","3C","4A","4B","4C"},{12,11,10,9,8,7,6,5,4,3,2,1})+LOOKUP(K22,{"1A","1B","1C","2A","2B","2C","3A","3B","3C","4A","4B","4C"},{12,11,10,9,8,7,6,5,4,3,2,1}))/2</x:f>
        <x:v>2.5</x:v>
      </x:c>
    </x:row>
    <x:row r="23" spans="1:22" s="8" customFormat="1" customHeight="1">
      <x:c r="A23" s="97">
        <x:v>19</x:v>
      </x:c>
      <x:c r="B23" s="86" t="s">
        <x:v>367</x:v>
      </x:c>
      <x:c r="C23" s="86" t="s">
        <x:v>381</x:v>
      </x:c>
      <x:c r="D23" s="86" t="s">
        <x:v>173</x:v>
      </x:c>
      <x:c r="E23" s="86"/>
      <x:c r="F23" s="86" t="s">
        <x:v>259</x:v>
      </x:c>
      <x:c r="G23" s="86"/>
      <x:c r="H23" s="86" t="s">
        <x:v>267</x:v>
      </x:c>
      <x:c r="I23" s="90" t="s">
        <x:v>325</x:v>
      </x:c>
      <x:c r="J23" s="88" t="s">
        <x:v>238</x:v>
      </x:c>
      <x:c r="K23" s="89" t="s">
        <x:v>238</x:v>
      </x:c>
      <x:c r="L23" s="345" t="s">
        <x:v>238</x:v>
      </x:c>
      <x:c r="M23" s="338" t="str">
        <x:f>LOOKUP(V23,{1,2,3,4,5,6,7,8,9,10,11,12},{"4C","4B","4A","3C","3B","3A","2C","2B","2A","1C","1B","1A"})</x:f>
        <x:v>4C</x:v>
      </x:c>
      <x:c r="N23" s="88" t="s">
        <x:v>238</x:v>
      </x:c>
      <x:c r="O23" s="89" t="s">
        <x:v>238</x:v>
      </x:c>
      <x:c r="P23" s="262" t="s">
        <x:v>238</x:v>
      </x:c>
      <x:c r="Q23" s="88"/>
      <x:c r="R23" s="89" t="s">
        <x:v>201</x:v>
      </x:c>
      <x:c r="S23" s="90"/>
      <x:c r="T23" s="223"/>
      <x:c r="V23" s="318">
        <x:f>(LOOKUP(J23,{"1A","1B","1C","2A","2B","2C","3A","3B","3C","4A","4B","4C"},{12,11,10,9,8,7,6,5,4,3,2,1})+LOOKUP(K23,{"1A","1B","1C","2A","2B","2C","3A","3B","3C","4A","4B","4C"},{12,11,10,9,8,7,6,5,4,3,2,1}))/2</x:f>
        <x:v>1</x:v>
      </x:c>
    </x:row>
    <x:row r="24" spans="1:22" s="14" customFormat="1" customHeight="1">
      <x:c r="A24" s="73">
        <x:v>20</x:v>
      </x:c>
      <x:c r="B24" s="78" t="s">
        <x:v>367</x:v>
      </x:c>
      <x:c r="C24" s="78" t="s">
        <x:v>359</x:v>
      </x:c>
      <x:c r="D24" s="78" t="s">
        <x:v>171</x:v>
      </x:c>
      <x:c r="E24" s="78"/>
      <x:c r="F24" s="78" t="s">
        <x:v>91</x:v>
      </x:c>
      <x:c r="G24" s="78"/>
      <x:c r="H24" s="78" t="s">
        <x:v>267</x:v>
      </x:c>
      <x:c r="I24" s="234" t="s">
        <x:v>341</x:v>
      </x:c>
      <x:c r="J24" s="81" t="s">
        <x:v>238</x:v>
      </x:c>
      <x:c r="K24" s="82" t="s">
        <x:v>238</x:v>
      </x:c>
      <x:c r="L24" s="345" t="s">
        <x:v>238</x:v>
      </x:c>
      <x:c r="M24" s="338" t="str">
        <x:f>LOOKUP(V24,{1,2,3,4,5,6,7,8,9,10,11,12},{"4C","4B","4A","3C","3B","3A","2C","2B","2A","1C","1B","1A"})</x:f>
        <x:v>4C</x:v>
      </x:c>
      <x:c r="N24" s="81" t="s">
        <x:v>238</x:v>
      </x:c>
      <x:c r="O24" s="82" t="s">
        <x:v>238</x:v>
      </x:c>
      <x:c r="P24" s="240" t="s">
        <x:v>238</x:v>
      </x:c>
      <x:c r="Q24" s="81"/>
      <x:c r="R24" s="82"/>
      <x:c r="S24" s="234"/>
      <x:c r="T24" s="84"/>
      <x:c r="V24" s="318">
        <x:f>(LOOKUP(J24,{"1A","1B","1C","2A","2B","2C","3A","3B","3C","4A","4B","4C"},{12,11,10,9,8,7,6,5,4,3,2,1})+LOOKUP(K24,{"1A","1B","1C","2A","2B","2C","3A","3B","3C","4A","4B","4C"},{12,11,10,9,8,7,6,5,4,3,2,1}))/2</x:f>
        <x:v>1</x:v>
      </x:c>
    </x:row>
    <x:row r="25" spans="1:22" s="12" customFormat="1" customHeight="1">
      <x:c r="A25" s="97">
        <x:v>21</x:v>
      </x:c>
      <x:c r="B25" s="78" t="s">
        <x:v>367</x:v>
      </x:c>
      <x:c r="C25" s="78" t="s">
        <x:v>285</x:v>
      </x:c>
      <x:c r="D25" s="78" t="s">
        <x:v>171</x:v>
      </x:c>
      <x:c r="E25" s="78"/>
      <x:c r="F25" s="78" t="s">
        <x:v>73</x:v>
      </x:c>
      <x:c r="G25" s="78"/>
      <x:c r="H25" s="78" t="s">
        <x:v>267</x:v>
      </x:c>
      <x:c r="I25" s="234" t="s">
        <x:v>339</x:v>
      </x:c>
      <x:c r="J25" s="81" t="s">
        <x:v>188</x:v>
      </x:c>
      <x:c r="K25" s="82" t="s">
        <x:v>238</x:v>
      </x:c>
      <x:c r="L25" s="246" t="s">
        <x:v>188</x:v>
      </x:c>
      <x:c r="M25" s="338" t="str">
        <x:f>LOOKUP(V25,{1,2,3,4,5,6,7,8,9,10,11,12},{"4C","4B","4A","3C","3B","3A","2C","2B","2A","1C","1B","1A"})</x:f>
        <x:v>4A</x:v>
      </x:c>
      <x:c r="N25" s="81" t="s">
        <x:v>188</x:v>
      </x:c>
      <x:c r="O25" s="82" t="s">
        <x:v>238</x:v>
      </x:c>
      <x:c r="P25" s="246" t="s">
        <x:v>188</x:v>
      </x:c>
      <x:c r="Q25" s="81"/>
      <x:c r="R25" s="82"/>
      <x:c r="S25" s="234"/>
      <x:c r="T25" s="84"/>
      <x:c r="V25" s="318">
        <x:f>(LOOKUP(J25,{"1A","1B","1C","2A","2B","2C","3A","3B","3C","4A","4B","4C"},{12,11,10,9,8,7,6,5,4,3,2,1})+LOOKUP(K25,{"1A","1B","1C","2A","2B","2C","3A","3B","3C","4A","4B","4C"},{12,11,10,9,8,7,6,5,4,3,2,1}))/2</x:f>
        <x:v>3</x:v>
      </x:c>
    </x:row>
    <x:row r="26" spans="1:22" s="14" customFormat="1" customHeight="1">
      <x:c r="A26" s="73">
        <x:v>22</x:v>
      </x:c>
      <x:c r="B26" s="72" t="s">
        <x:v>367</x:v>
      </x:c>
      <x:c r="C26" s="78" t="s">
        <x:v>381</x:v>
      </x:c>
      <x:c r="D26" s="78" t="s">
        <x:v>171</x:v>
      </x:c>
      <x:c r="E26" s="78"/>
      <x:c r="F26" s="78" t="s">
        <x:v>54</x:v>
      </x:c>
      <x:c r="G26" s="78"/>
      <x:c r="H26" s="78" t="s">
        <x:v>267</x:v>
      </x:c>
      <x:c r="I26" s="234" t="s">
        <x:v>325</x:v>
      </x:c>
      <x:c r="J26" s="81" t="s">
        <x:v>238</x:v>
      </x:c>
      <x:c r="K26" s="82" t="s">
        <x:v>230</x:v>
      </x:c>
      <x:c r="L26" s="345" t="s">
        <x:v>230</x:v>
      </x:c>
      <x:c r="M26" s="320" t="str">
        <x:f>LOOKUP(V26,{1,2,3,4,5,6,7,8,9,10,11,12},{"4C","4B","4A","3C","3B","3A","2C","2B","2A","1C","1B","1A"})</x:f>
        <x:v>4B</x:v>
      </x:c>
      <x:c r="N26" s="81" t="s">
        <x:v>238</x:v>
      </x:c>
      <x:c r="O26" s="82" t="s">
        <x:v>230</x:v>
      </x:c>
      <x:c r="P26" s="240" t="s">
        <x:v>230</x:v>
      </x:c>
      <x:c r="Q26" s="81"/>
      <x:c r="R26" s="82"/>
      <x:c r="S26" s="234"/>
      <x:c r="T26" s="84"/>
      <x:c r="V26" s="318">
        <x:f>(LOOKUP(J26,{"1A","1B","1C","2A","2B","2C","3A","3B","3C","4A","4B","4C"},{12,11,10,9,8,7,6,5,4,3,2,1})+LOOKUP(K26,{"1A","1B","1C","2A","2B","2C","3A","3B","3C","4A","4B","4C"},{12,11,10,9,8,7,6,5,4,3,2,1}))/2</x:f>
        <x:v>2</x:v>
      </x:c>
    </x:row>
    <x:row r="27" spans="1:22" s="12" customFormat="1" customHeight="1">
      <x:c r="A27" s="97">
        <x:v>23</x:v>
      </x:c>
      <x:c r="B27" s="15" t="s">
        <x:v>367</x:v>
      </x:c>
      <x:c r="C27" s="15" t="s">
        <x:v>285</x:v>
      </x:c>
      <x:c r="D27" s="15" t="s">
        <x:v>167</x:v>
      </x:c>
      <x:c r="E27" s="49"/>
      <x:c r="F27" s="16" t="s">
        <x:v>50</x:v>
      </x:c>
      <x:c r="G27" s="16"/>
      <x:c r="H27" s="15" t="s">
        <x:v>267</x:v>
      </x:c>
      <x:c r="I27" s="29" t="s">
        <x:v>327</x:v>
      </x:c>
      <x:c r="J27" s="28" t="s">
        <x:v>188</x:v>
      </x:c>
      <x:c r="K27" s="17" t="s">
        <x:v>238</x:v>
      </x:c>
      <x:c r="L27" s="345" t="s">
        <x:v>188</x:v>
      </x:c>
      <x:c r="M27" s="338" t="str">
        <x:f>LOOKUP(V27,{1,2,3,4,5,6,7,8,9,10,11,12},{"4C","4B","4A","3C","3B","3A","2C","2B","2A","1C","1B","1A"})</x:f>
        <x:v>4A</x:v>
      </x:c>
      <x:c r="N27" s="28" t="s">
        <x:v>188</x:v>
      </x:c>
      <x:c r="O27" s="17" t="s">
        <x:v>238</x:v>
      </x:c>
      <x:c r="P27" s="66" t="s">
        <x:v>188</x:v>
      </x:c>
      <x:c r="Q27" s="28" t="s">
        <x:v>36</x:v>
      </x:c>
      <x:c r="R27" s="17"/>
      <x:c r="S27" s="29"/>
      <x:c r="T27" s="42"/>
      <x:c r="V27" s="318">
        <x:f>(LOOKUP(J27,{"1A","1B","1C","2A","2B","2C","3A","3B","3C","4A","4B","4C"},{12,11,10,9,8,7,6,5,4,3,2,1})+LOOKUP(K27,{"1A","1B","1C","2A","2B","2C","3A","3B","3C","4A","4B","4C"},{12,11,10,9,8,7,6,5,4,3,2,1}))/2</x:f>
        <x:v>3</x:v>
      </x:c>
    </x:row>
    <x:row r="28" spans="1:22" s="14" customFormat="1" customHeight="1">
      <x:c r="A28" s="73">
        <x:v>24</x:v>
      </x:c>
      <x:c r="B28" s="54" t="s">
        <x:v>367</x:v>
      </x:c>
      <x:c r="C28" s="54" t="s">
        <x:v>264</x:v>
      </x:c>
      <x:c r="D28" s="54" t="s">
        <x:v>246</x:v>
      </x:c>
      <x:c r="E28" s="15"/>
      <x:c r="F28" s="61" t="s">
        <x:v>209</x:v>
      </x:c>
      <x:c r="G28" s="16"/>
      <x:c r="H28" s="54" t="s">
        <x:v>272</x:v>
      </x:c>
      <x:c r="I28" s="58" t="s">
        <x:v>379</x:v>
      </x:c>
      <x:c r="J28" s="92" t="s">
        <x:v>225</x:v>
      </x:c>
      <x:c r="K28" s="93" t="s">
        <x:v>225</x:v>
      </x:c>
      <x:c r="L28" s="344" t="s">
        <x:v>225</x:v>
      </x:c>
      <x:c r="M28" s="338" t="str">
        <x:f>LOOKUP(V28,{1,2,3,4,5,6,7,8,9,10,11,12},{"4C","4B","4A","3C","3B","3A","2C","2B","2A","1C","1B","1A"})</x:f>
        <x:v>1A</x:v>
      </x:c>
      <x:c r="N28" s="92" t="s">
        <x:v>225</x:v>
      </x:c>
      <x:c r="O28" s="93" t="s">
        <x:v>225</x:v>
      </x:c>
      <x:c r="P28" s="58" t="s">
        <x:v>225</x:v>
      </x:c>
      <x:c r="Q28" s="28"/>
      <x:c r="R28" s="17"/>
      <x:c r="S28" s="29"/>
      <x:c r="T28" s="29"/>
      <x:c r="V28" s="318">
        <x:f>(LOOKUP(J28,{"1A","1B","1C","2A","2B","2C","3A","3B","3C","4A","4B","4C"},{12,11,10,9,8,7,6,5,4,3,2,1})+LOOKUP(K28,{"1A","1B","1C","2A","2B","2C","3A","3B","3C","4A","4B","4C"},{12,11,10,9,8,7,6,5,4,3,2,1}))/2</x:f>
        <x:v>12</x:v>
      </x:c>
    </x:row>
    <x:row r="29" spans="1:22" s="14" customFormat="1" customHeight="1">
      <x:c r="A29" s="97">
        <x:v>25</x:v>
      </x:c>
      <x:c r="B29" s="38" t="s">
        <x:v>367</x:v>
      </x:c>
      <x:c r="C29" s="15" t="s">
        <x:v>381</x:v>
      </x:c>
      <x:c r="D29" s="15" t="s">
        <x:v>210</x:v>
      </x:c>
      <x:c r="E29" s="15"/>
      <x:c r="F29" s="16" t="s">
        <x:v>42</x:v>
      </x:c>
      <x:c r="G29" s="15"/>
      <x:c r="H29" s="15" t="s">
        <x:v>267</x:v>
      </x:c>
      <x:c r="I29" s="29" t="s">
        <x:v>315</x:v>
      </x:c>
      <x:c r="J29" s="28" t="s">
        <x:v>201</x:v>
      </x:c>
      <x:c r="K29" s="17" t="s">
        <x:v>36</x:v>
      </x:c>
      <x:c r="L29" s="345" t="s">
        <x:v>36</x:v>
      </x:c>
      <x:c r="M29" s="338" t="str">
        <x:f>LOOKUP(V29,{1,2,3,4,5,6,7,8,9,10,11,12},{"4C","4B","4A","3C","3B","3A","2C","2B","2A","1C","1B","1A"})</x:f>
        <x:v>3C</x:v>
      </x:c>
      <x:c r="N29" s="28" t="s">
        <x:v>201</x:v>
      </x:c>
      <x:c r="O29" s="17" t="s">
        <x:v>36</x:v>
      </x:c>
      <x:c r="P29" s="66" t="s">
        <x:v>36</x:v>
      </x:c>
      <x:c r="Q29" s="28"/>
      <x:c r="R29" s="17" t="s">
        <x:v>175</x:v>
      </x:c>
      <x:c r="S29" s="29"/>
      <x:c r="T29" s="42"/>
      <x:c r="V29" s="318">
        <x:f>(LOOKUP(J29,{"1A","1B","1C","2A","2B","2C","3A","3B","3C","4A","4B","4C"},{12,11,10,9,8,7,6,5,4,3,2,1})+LOOKUP(K29,{"1A","1B","1C","2A","2B","2C","3A","3B","3C","4A","4B","4C"},{12,11,10,9,8,7,6,5,4,3,2,1}))/2</x:f>
        <x:v>4</x:v>
      </x:c>
    </x:row>
    <x:row r="30" spans="1:22" s="14" customFormat="1" customHeight="1">
      <x:c r="A30" s="73">
        <x:v>26</x:v>
      </x:c>
      <x:c r="B30" s="15" t="s">
        <x:v>367</x:v>
      </x:c>
      <x:c r="C30" s="15" t="s">
        <x:v>381</x:v>
      </x:c>
      <x:c r="D30" s="15" t="s">
        <x:v>217</x:v>
      </x:c>
      <x:c r="E30" s="15"/>
      <x:c r="F30" s="16" t="s">
        <x:v>159</x:v>
      </x:c>
      <x:c r="G30" s="15"/>
      <x:c r="H30" s="15" t="s">
        <x:v>267</x:v>
      </x:c>
      <x:c r="I30" s="29" t="s">
        <x:v>315</x:v>
      </x:c>
      <x:c r="J30" s="28" t="s">
        <x:v>225</x:v>
      </x:c>
      <x:c r="K30" s="17" t="s">
        <x:v>215</x:v>
      </x:c>
      <x:c r="L30" s="345" t="s">
        <x:v>215</x:v>
      </x:c>
      <x:c r="M30" s="338" t="str">
        <x:f>LOOKUP(V30,{1,2,3,4,5,6,7,8,9,10,11,12},{"4C","4B","4A","3C","3B","3A","2C","2B","2A","1C","1B","1A"})</x:f>
        <x:v>1B</x:v>
      </x:c>
      <x:c r="N30" s="28" t="s">
        <x:v>225</x:v>
      </x:c>
      <x:c r="O30" s="17" t="s">
        <x:v>215</x:v>
      </x:c>
      <x:c r="P30" s="66" t="s">
        <x:v>215</x:v>
      </x:c>
      <x:c r="Q30" s="28"/>
      <x:c r="R30" s="17" t="s">
        <x:v>162</x:v>
      </x:c>
      <x:c r="S30" s="29"/>
      <x:c r="T30" s="42"/>
      <x:c r="U30" s="8"/>
      <x:c r="V30" s="318">
        <x:f>(LOOKUP(J30,{"1A","1B","1C","2A","2B","2C","3A","3B","3C","4A","4B","4C"},{12,11,10,9,8,7,6,5,4,3,2,1})+LOOKUP(K30,{"1A","1B","1C","2A","2B","2C","3A","3B","3C","4A","4B","4C"},{12,11,10,9,8,7,6,5,4,3,2,1}))/2</x:f>
        <x:v>11</x:v>
      </x:c>
    </x:row>
    <x:row r="31" spans="1:22" s="14" customFormat="1" customHeight="1">
      <x:c r="A31" s="67">
        <x:v>27</x:v>
      </x:c>
      <x:c r="B31" s="68" t="s">
        <x:v>367</x:v>
      </x:c>
      <x:c r="C31" s="68" t="s">
        <x:v>285</x:v>
      </x:c>
      <x:c r="D31" s="68" t="s">
        <x:v>217</x:v>
      </x:c>
      <x:c r="E31" s="68"/>
      <x:c r="F31" s="68" t="s">
        <x:v>134</x:v>
      </x:c>
      <x:c r="G31" s="68"/>
      <x:c r="H31" s="68" t="s">
        <x:v>267</x:v>
      </x:c>
      <x:c r="I31" s="69" t="s">
        <x:v>306</x:v>
      </x:c>
      <x:c r="J31" s="67" t="s">
        <x:v>162</x:v>
      </x:c>
      <x:c r="K31" s="68" t="s">
        <x:v>230</x:v>
      </x:c>
      <x:c r="L31" s="347" t="s">
        <x:v>162</x:v>
      </x:c>
      <x:c r="M31" s="349" t="str">
        <x:f>LOOKUP(V31,{1,2,3,4,5,6,7,8,9,10,11,12},{"4C","4B","4A","3C","3B","3A","2C","2B","2A","1C","1B","1A"})</x:f>
        <x:v>2C</x:v>
      </x:c>
      <x:c r="N31" s="67" t="s">
        <x:v>162</x:v>
      </x:c>
      <x:c r="O31" s="68" t="s">
        <x:v>230</x:v>
      </x:c>
      <x:c r="P31" s="130" t="s">
        <x:v>162</x:v>
      </x:c>
      <x:c r="Q31" s="67"/>
      <x:c r="R31" s="68"/>
      <x:c r="S31" s="69"/>
      <x:c r="T31" s="203"/>
      <x:c r="U31" s="8"/>
      <x:c r="V31" s="318">
        <x:f>(LOOKUP(J31,{"1A","1B","1C","2A","2B","2C","3A","3B","3C","4A","4B","4C"},{12,11,10,9,8,7,6,5,4,3,2,1})+LOOKUP(K31,{"1A","1B","1C","2A","2B","2C","3A","3B","3C","4A","4B","4C"},{12,11,10,9,8,7,6,5,4,3,2,1}))/2</x:f>
        <x:v>7</x:v>
      </x:c>
    </x:row>
    <x:row r="32" spans="22:22">
      <x:c r="V32" s="314"/>
    </x:row>
    <x:row r="33" spans="22:23">
      <x:c r="V33" s="371" t="e">
        <x:f>SUM(#REF!,#REF!)</x:f>
        <x:v>#REF!</x:v>
      </x:c>
      <x:c r="W33" s="372" t="e">
        <x:f>SUM(#REF!,#REF!)</x:f>
        <x:v>#REF!</x:v>
      </x:c>
    </x:row>
    <x:row r="34" spans="22:22">
      <x:c r="V34" s="314"/>
    </x:row>
  </x:sheetData>
  <x:autoFilter ref="A4:T32"/>
  <x:mergeCells count="14">
    <x:mergeCell ref="A1:T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M3"/>
    <x:mergeCell ref="N3:P3"/>
    <x:mergeCell ref="Q3:S3"/>
    <x:mergeCell ref="T3:T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 filterMode="1"/>
  <x:dimension ref="A1:W28"/>
  <x:sheetViews>
    <x:sheetView topLeftCell="A10" zoomScaleNormal="75" zoomScaleSheetLayoutView="100" workbookViewId="0">
      <x:pane xSplit="8" ySplit="0" topLeftCell="R10" activePane="topRight" state="frozen"/>
      <x:selection pane="topRight" activeCell="A29" activeCellId="0" sqref="A29:XFD41"/>
    </x:sheetView>
  </x:sheetViews>
  <x:sheetFormatPr defaultColWidth="8.88671875" defaultRowHeight="14.19999999999999928946"/>
  <x:cols>
    <x:col min="1" max="1" width="4.34765625" style="98" bestFit="1" customWidth="1"/>
    <x:col min="2" max="2" width="16.4453125" style="20" customWidth="1"/>
    <x:col min="3" max="3" width="14.109375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5.91796875" style="20" bestFit="1" customWidth="1"/>
    <x:col min="11" max="11" width="8.29296875" style="20" bestFit="1" customWidth="1"/>
    <x:col min="12" max="12" width="8.29296875" style="20" customWidth="1"/>
    <x:col min="13" max="13" width="9.51953125" style="20" bestFit="1" customWidth="1"/>
    <x:col min="14" max="14" width="5.91796875" style="20" customWidth="1"/>
    <x:col min="15" max="15" width="8.109375" style="20" customWidth="1"/>
    <x:col min="16" max="16" width="5.91796875" style="20" customWidth="1"/>
    <x:col min="17" max="17" width="7.40625" style="41" bestFit="1" customWidth="1"/>
    <x:col min="18" max="18" width="8.29296875" style="41" bestFit="1" customWidth="1"/>
    <x:col min="19" max="19" width="7.40625" style="41" bestFit="1" customWidth="1"/>
    <x:col min="20" max="20" width="8.88671875" style="27"/>
    <x:col min="22" max="22" width="8.88671875" style="3" bestFit="1" customWidth="1"/>
    <x:col min="23" max="23" width="8.88671875" style="2" bestFit="1" customWidth="1"/>
  </x:cols>
  <x:sheetData>
    <x:row r="1" spans="1:20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</x:row>
    <x:row r="2" spans="1:20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</x:row>
    <x:row r="3" spans="1:20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470" t="s">
        <x:v>334</x:v>
      </x:c>
      <x:c r="K3" s="471"/>
      <x:c r="L3" s="472"/>
      <x:c r="M3" s="473"/>
      <x:c r="N3" s="470" t="s">
        <x:v>332</x:v>
      </x:c>
      <x:c r="O3" s="471"/>
      <x:c r="P3" s="473"/>
      <x:c r="Q3" s="467" t="s">
        <x:v>328</x:v>
      </x:c>
      <x:c r="R3" s="468"/>
      <x:c r="S3" s="469"/>
      <x:c r="T3" s="474" t="s">
        <x:v>348</x:v>
      </x:c>
    </x:row>
    <x:row r="4" spans="1:22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119" t="s">
        <x:v>160</x:v>
      </x:c>
      <x:c r="K4" s="120" t="s">
        <x:v>381</x:v>
      </x:c>
      <x:c r="L4" s="342" t="s">
        <x:v>363</x:v>
      </x:c>
      <x:c r="M4" s="324" t="s">
        <x:v>354</x:v>
      </x:c>
      <x:c r="N4" s="119" t="s">
        <x:v>160</x:v>
      </x:c>
      <x:c r="O4" s="120" t="s">
        <x:v>381</x:v>
      </x:c>
      <x:c r="P4" s="121" t="s">
        <x:v>192</x:v>
      </x:c>
      <x:c r="Q4" s="74" t="s">
        <x:v>160</x:v>
      </x:c>
      <x:c r="R4" s="75" t="s">
        <x:v>381</x:v>
      </x:c>
      <x:c r="S4" s="76" t="s">
        <x:v>192</x:v>
      </x:c>
      <x:c r="T4" s="475"/>
      <x:c r="V4" s="317" t="s">
        <x:v>291</x:v>
      </x:c>
    </x:row>
    <x:row r="5" spans="1:22" s="14" customFormat="1" customHeight="1">
      <x:c r="A5" s="97">
        <x:v>1</x:v>
      </x:c>
      <x:c r="B5" s="59" t="s">
        <x:v>368</x:v>
      </x:c>
      <x:c r="C5" s="54" t="s">
        <x:v>275</x:v>
      </x:c>
      <x:c r="D5" s="54" t="s">
        <x:v>246</x:v>
      </x:c>
      <x:c r="E5" s="15"/>
      <x:c r="F5" s="54" t="s">
        <x:v>126</x:v>
      </x:c>
      <x:c r="G5" s="15"/>
      <x:c r="H5" s="54" t="s">
        <x:v>272</x:v>
      </x:c>
      <x:c r="I5" s="57" t="s">
        <x:v>337</x:v>
      </x:c>
      <x:c r="J5" s="92" t="s">
        <x:v>225</x:v>
      </x:c>
      <x:c r="K5" s="93" t="s">
        <x:v>225</x:v>
      </x:c>
      <x:c r="L5" s="320" t="s">
        <x:v>225</x:v>
      </x:c>
      <x:c r="M5" s="343" t="str">
        <x:f>LOOKUP(V5,{1,2,3,4,5,6,7,8,9,10,11,12},{"4C","4B","4A","3C","3B","3A","2C","2B","2A","1C","1B","1A"})</x:f>
        <x:v>1A</x:v>
      </x:c>
      <x:c r="N5" s="92" t="s">
        <x:v>225</x:v>
      </x:c>
      <x:c r="O5" s="93" t="s">
        <x:v>225</x:v>
      </x:c>
      <x:c r="P5" s="58" t="s">
        <x:v>225</x:v>
      </x:c>
      <x:c r="Q5" s="28"/>
      <x:c r="R5" s="17"/>
      <x:c r="S5" s="29"/>
      <x:c r="T5" s="40" t="s">
        <x:v>350</x:v>
      </x:c>
      <x:c r="V5" s="318">
        <x:f>(LOOKUP(J5,{"1A","1B","1C","2A","2B","2C","3A","3B","3C","4A","4B","4C"},{12,11,10,9,8,7,6,5,4,3,2,1})+LOOKUP(K5,{"1A","1B","1C","2A","2B","2C","3A","3B","3C","4A","4B","4C"},{12,11,10,9,8,7,6,5,4,3,2,1}))/2</x:f>
        <x:v>12</x:v>
      </x:c>
    </x:row>
    <x:row r="6" spans="1:22" s="14" customFormat="1" customHeight="1">
      <x:c r="A6" s="73">
        <x:v>2</x:v>
      </x:c>
      <x:c r="B6" s="54" t="s">
        <x:v>368</x:v>
      </x:c>
      <x:c r="C6" s="54" t="s">
        <x:v>275</x:v>
      </x:c>
      <x:c r="D6" s="54" t="s">
        <x:v>179</x:v>
      </x:c>
      <x:c r="E6" s="16"/>
      <x:c r="F6" s="54" t="s">
        <x:v>110</x:v>
      </x:c>
      <x:c r="G6" s="47"/>
      <x:c r="H6" s="54" t="s">
        <x:v>272</x:v>
      </x:c>
      <x:c r="I6" s="57" t="s">
        <x:v>344</x:v>
      </x:c>
      <x:c r="J6" s="92" t="s">
        <x:v>158</x:v>
      </x:c>
      <x:c r="K6" s="93" t="s">
        <x:v>162</x:v>
      </x:c>
      <x:c r="L6" s="320" t="s">
        <x:v>162</x:v>
      </x:c>
      <x:c r="M6" s="343" t="str">
        <x:f>LOOKUP(V6,{1,2,3,4,5,6,7,8,9,10,11,12},{"4C","4B","4A","3C","3B","3A","2C","2B","2A","1C","1B","1A"})</x:f>
        <x:v>1C</x:v>
      </x:c>
      <x:c r="N6" s="92" t="s">
        <x:v>158</x:v>
      </x:c>
      <x:c r="O6" s="93" t="s">
        <x:v>162</x:v>
      </x:c>
      <x:c r="P6" s="58" t="s">
        <x:v>162</x:v>
      </x:c>
      <x:c r="Q6" s="28"/>
      <x:c r="R6" s="17"/>
      <x:c r="S6" s="29"/>
      <x:c r="T6" s="42"/>
      <x:c r="V6" s="318">
        <x:f>(LOOKUP(J6,{"1A","1B","1C","2A","2B","2C","3A","3B","3C","4A","4B","4C"},{12,11,10,9,8,7,6,5,4,3,2,1})+LOOKUP(K6,{"1A","1B","1C","2A","2B","2C","3A","3B","3C","4A","4B","4C"},{12,11,10,9,8,7,6,5,4,3,2,1}))/2</x:f>
        <x:v>10</x:v>
      </x:c>
    </x:row>
    <x:row r="7" spans="1:22" s="14" customFormat="1" customHeight="1">
      <x:c r="A7" s="97">
        <x:v>3</x:v>
      </x:c>
      <x:c r="B7" s="54" t="s">
        <x:v>368</x:v>
      </x:c>
      <x:c r="C7" s="54" t="s">
        <x:v>275</x:v>
      </x:c>
      <x:c r="D7" s="54" t="s">
        <x:v>217</x:v>
      </x:c>
      <x:c r="E7" s="15"/>
      <x:c r="F7" s="54" t="s">
        <x:v>216</x:v>
      </x:c>
      <x:c r="G7" s="15"/>
      <x:c r="H7" s="54" t="s">
        <x:v>272</x:v>
      </x:c>
      <x:c r="I7" s="57" t="s">
        <x:v>366</x:v>
      </x:c>
      <x:c r="J7" s="92" t="s">
        <x:v>162</x:v>
      </x:c>
      <x:c r="K7" s="93" t="s">
        <x:v>230</x:v>
      </x:c>
      <x:c r="L7" s="320" t="s">
        <x:v>162</x:v>
      </x:c>
      <x:c r="M7" s="343" t="str">
        <x:f>LOOKUP(V7,{1,2,3,4,5,6,7,8,9,10,11,12},{"4C","4B","4A","3C","3B","3A","2C","2B","2A","1C","1B","1A"})</x:f>
        <x:v>2C</x:v>
      </x:c>
      <x:c r="N7" s="92" t="s">
        <x:v>162</x:v>
      </x:c>
      <x:c r="O7" s="93" t="s">
        <x:v>230</x:v>
      </x:c>
      <x:c r="P7" s="58" t="s">
        <x:v>162</x:v>
      </x:c>
      <x:c r="Q7" s="28"/>
      <x:c r="R7" s="17"/>
      <x:c r="S7" s="29"/>
      <x:c r="T7" s="42"/>
      <x:c r="V7" s="318">
        <x:f>(LOOKUP(J7,{"1A","1B","1C","2A","2B","2C","3A","3B","3C","4A","4B","4C"},{12,11,10,9,8,7,6,5,4,3,2,1})+LOOKUP(K7,{"1A","1B","1C","2A","2B","2C","3A","3B","3C","4A","4B","4C"},{12,11,10,9,8,7,6,5,4,3,2,1}))/2</x:f>
        <x:v>7</x:v>
      </x:c>
    </x:row>
    <x:row r="8" spans="1:22" s="14" customFormat="1" customHeight="1">
      <x:c r="A8" s="73">
        <x:v>4</x:v>
      </x:c>
      <x:c r="B8" s="54" t="s">
        <x:v>368</x:v>
      </x:c>
      <x:c r="C8" s="54" t="s">
        <x:v>275</x:v>
      </x:c>
      <x:c r="D8" s="54" t="s">
        <x:v>171</x:v>
      </x:c>
      <x:c r="E8" s="15"/>
      <x:c r="F8" s="54" t="s">
        <x:v>59</x:v>
      </x:c>
      <x:c r="G8" s="15"/>
      <x:c r="H8" s="54" t="s">
        <x:v>272</x:v>
      </x:c>
      <x:c r="I8" s="57" t="s">
        <x:v>340</x:v>
      </x:c>
      <x:c r="J8" s="92" t="s">
        <x:v>36</x:v>
      </x:c>
      <x:c r="K8" s="93" t="s">
        <x:v>201</x:v>
      </x:c>
      <x:c r="L8" s="320" t="s">
        <x:v>230</x:v>
      </x:c>
      <x:c r="M8" s="343" t="str">
        <x:f>LOOKUP(V8,{1,2,3,4,5,6,7,8,9,10,11,12},{"4C","4B","4A","3C","3B","3A","2C","2B","2A","1C","1B","1A"})</x:f>
        <x:v>3C</x:v>
      </x:c>
      <x:c r="N8" s="92" t="s">
        <x:v>36</x:v>
      </x:c>
      <x:c r="O8" s="93" t="s">
        <x:v>201</x:v>
      </x:c>
      <x:c r="P8" s="58" t="s">
        <x:v>230</x:v>
      </x:c>
      <x:c r="Q8" s="28"/>
      <x:c r="R8" s="17"/>
      <x:c r="S8" s="29"/>
      <x:c r="T8" s="42"/>
      <x:c r="V8" s="318">
        <x:f>(LOOKUP(J8,{"1A","1B","1C","2A","2B","2C","3A","3B","3C","4A","4B","4C"},{12,11,10,9,8,7,6,5,4,3,2,1})+LOOKUP(K8,{"1A","1B","1C","2A","2B","2C","3A","3B","3C","4A","4B","4C"},{12,11,10,9,8,7,6,5,4,3,2,1}))/2</x:f>
        <x:v>4</x:v>
      </x:c>
    </x:row>
    <x:row r="9" spans="1:22" s="14" customFormat="1" customHeight="1">
      <x:c r="A9" s="97">
        <x:v>5</x:v>
      </x:c>
      <x:c r="B9" s="54" t="s">
        <x:v>368</x:v>
      </x:c>
      <x:c r="C9" s="54" t="s">
        <x:v>252</x:v>
      </x:c>
      <x:c r="D9" s="54" t="s">
        <x:v>248</x:v>
      </x:c>
      <x:c r="E9" s="15"/>
      <x:c r="F9" s="54" t="s">
        <x:v>206</x:v>
      </x:c>
      <x:c r="G9" s="15"/>
      <x:c r="H9" s="54" t="s">
        <x:v>272</x:v>
      </x:c>
      <x:c r="I9" s="57" t="s">
        <x:v>320</x:v>
      </x:c>
      <x:c r="J9" s="92" t="s">
        <x:v>225</x:v>
      </x:c>
      <x:c r="K9" s="93" t="s">
        <x:v>225</x:v>
      </x:c>
      <x:c r="L9" s="320" t="s">
        <x:v>225</x:v>
      </x:c>
      <x:c r="M9" s="343" t="str">
        <x:f>LOOKUP(V9,{1,2,3,4,5,6,7,8,9,10,11,12},{"4C","4B","4A","3C","3B","3A","2C","2B","2A","1C","1B","1A"})</x:f>
        <x:v>1A</x:v>
      </x:c>
      <x:c r="N9" s="92" t="s">
        <x:v>225</x:v>
      </x:c>
      <x:c r="O9" s="93" t="s">
        <x:v>225</x:v>
      </x:c>
      <x:c r="P9" s="58" t="s">
        <x:v>225</x:v>
      </x:c>
      <x:c r="Q9" s="28"/>
      <x:c r="R9" s="17"/>
      <x:c r="S9" s="29"/>
      <x:c r="T9" s="40" t="s">
        <x:v>350</x:v>
      </x:c>
      <x:c r="V9" s="318">
        <x:f>(LOOKUP(J9,{"1A","1B","1C","2A","2B","2C","3A","3B","3C","4A","4B","4C"},{12,11,10,9,8,7,6,5,4,3,2,1})+LOOKUP(K9,{"1A","1B","1C","2A","2B","2C","3A","3B","3C","4A","4B","4C"},{12,11,10,9,8,7,6,5,4,3,2,1}))/2</x:f>
        <x:v>12</x:v>
      </x:c>
    </x:row>
    <x:row r="10" spans="1:22" s="8" customFormat="1" customHeight="1">
      <x:c r="A10" s="73">
        <x:v>6</x:v>
      </x:c>
      <x:c r="B10" s="54" t="s">
        <x:v>368</x:v>
      </x:c>
      <x:c r="C10" s="54" t="s">
        <x:v>252</x:v>
      </x:c>
      <x:c r="D10" s="54" t="s">
        <x:v>173</x:v>
      </x:c>
      <x:c r="E10" s="15"/>
      <x:c r="F10" s="54" t="s">
        <x:v>279</x:v>
      </x:c>
      <x:c r="G10" s="15"/>
      <x:c r="H10" s="54" t="s">
        <x:v>272</x:v>
      </x:c>
      <x:c r="I10" s="57" t="s">
        <x:v>380</x:v>
      </x:c>
      <x:c r="J10" s="122" t="s">
        <x:v>269</x:v>
      </x:c>
      <x:c r="K10" s="261" t="s">
        <x:v>269</x:v>
      </x:c>
      <x:c r="L10" s="322" t="s">
        <x:v>269</x:v>
      </x:c>
      <x:c r="M10" s="343" t="s">
        <x:v>269</x:v>
      </x:c>
      <x:c r="N10" s="122" t="s">
        <x:v>269</x:v>
      </x:c>
      <x:c r="O10" s="261" t="s">
        <x:v>269</x:v>
      </x:c>
      <x:c r="P10" s="267" t="s">
        <x:v>269</x:v>
      </x:c>
      <x:c r="Q10" s="28"/>
      <x:c r="R10" s="17"/>
      <x:c r="S10" s="29"/>
      <x:c r="T10" s="40"/>
      <x:c r="V10" s="318" t="e">
        <x:f>(LOOKUP(J10,{"1A","1B","1C","2A","2B","2C","3A","3B","3C","4A","4B","4C"},{12,11,10,9,8,7,6,5,4,3,2,1})+LOOKUP(K10,{"1A","1B","1C","2A","2B","2C","3A","3B","3C","4A","4B","4C"},{12,11,10,9,8,7,6,5,4,3,2,1}))/2</x:f>
        <x:v>#N/A</x:v>
      </x:c>
    </x:row>
    <x:row r="11" spans="1:22" s="14" customFormat="1" customHeight="1">
      <x:c r="A11" s="55">
        <x:v>7</x:v>
      </x:c>
      <x:c r="B11" s="56" t="s">
        <x:v>368</x:v>
      </x:c>
      <x:c r="C11" s="56" t="s">
        <x:v>285</x:v>
      </x:c>
      <x:c r="D11" s="56" t="s">
        <x:v>168</x:v>
      </x:c>
      <x:c r="E11" s="56"/>
      <x:c r="F11" s="56" t="s">
        <x:v>84</x:v>
      </x:c>
      <x:c r="G11" s="56"/>
      <x:c r="H11" s="56" t="s">
        <x:v>267</x:v>
      </x:c>
      <x:c r="I11" s="273" t="s">
        <x:v>327</x:v>
      </x:c>
      <x:c r="J11" s="34" t="s">
        <x:v>225</x:v>
      </x:c>
      <x:c r="K11" s="21" t="s">
        <x:v>225</x:v>
      </x:c>
      <x:c r="L11" s="240" t="s">
        <x:v>225</x:v>
      </x:c>
      <x:c r="M11" s="351" t="str">
        <x:f>LOOKUP(V11,{1,2,3,4,5,6,7,8,9,10,11,12},{"4C","4B","4A","3C","3B","3A","2C","2B","2A","1C","1B","1A"})</x:f>
        <x:v>1A</x:v>
      </x:c>
      <x:c r="N11" s="34" t="s">
        <x:v>225</x:v>
      </x:c>
      <x:c r="O11" s="21" t="s">
        <x:v>225</x:v>
      </x:c>
      <x:c r="P11" s="83" t="s">
        <x:v>225</x:v>
      </x:c>
      <x:c r="Q11" s="34"/>
      <x:c r="R11" s="21"/>
      <x:c r="S11" s="35"/>
      <x:c r="T11" s="35" t="s">
        <x:v>350</x:v>
      </x:c>
      <x:c r="V11" s="318">
        <x:f>(LOOKUP(J11,{"1A","1B","1C","2A","2B","2C","3A","3B","3C","4A","4B","4C"},{12,11,10,9,8,7,6,5,4,3,2,1})+LOOKUP(K11,{"1A","1B","1C","2A","2B","2C","3A","3B","3C","4A","4B","4C"},{12,11,10,9,8,7,6,5,4,3,2,1}))/2</x:f>
        <x:v>12</x:v>
      </x:c>
    </x:row>
    <x:row r="12" spans="1:22" s="14" customFormat="1" customHeight="1">
      <x:c r="A12" s="73">
        <x:v>8</x:v>
      </x:c>
      <x:c r="B12" s="38" t="s">
        <x:v>368</x:v>
      </x:c>
      <x:c r="C12" s="15" t="s">
        <x:v>381</x:v>
      </x:c>
      <x:c r="D12" s="15" t="s">
        <x:v>168</x:v>
      </x:c>
      <x:c r="E12" s="15"/>
      <x:c r="F12" s="16" t="s">
        <x:v>101</x:v>
      </x:c>
      <x:c r="G12" s="15"/>
      <x:c r="H12" s="15" t="s">
        <x:v>267</x:v>
      </x:c>
      <x:c r="I12" s="29" t="s">
        <x:v>325</x:v>
      </x:c>
      <x:c r="J12" s="31" t="s">
        <x:v>162</x:v>
      </x:c>
      <x:c r="K12" s="17" t="s">
        <x:v>175</x:v>
      </x:c>
      <x:c r="L12" s="346" t="s">
        <x:v>162</x:v>
      </x:c>
      <x:c r="M12" s="351" t="str">
        <x:f>LOOKUP(V12,{1,2,3,4,5,6,7,8,9,10,11,12},{"4C","4B","4A","3C","3B","3A","2C","2B","2A","1C","1B","1A"})</x:f>
        <x:v>2A</x:v>
      </x:c>
      <x:c r="N12" s="31" t="s">
        <x:v>162</x:v>
      </x:c>
      <x:c r="O12" s="17" t="s">
        <x:v>175</x:v>
      </x:c>
      <x:c r="P12" s="128" t="s">
        <x:v>162</x:v>
      </x:c>
      <x:c r="Q12" s="28" t="s">
        <x:v>225</x:v>
      </x:c>
      <x:c r="R12" s="17"/>
      <x:c r="S12" s="29"/>
      <x:c r="T12" s="42"/>
      <x:c r="V12" s="318">
        <x:f>(LOOKUP(J12,{"1A","1B","1C","2A","2B","2C","3A","3B","3C","4A","4B","4C"},{12,11,10,9,8,7,6,5,4,3,2,1})+LOOKUP(K12,{"1A","1B","1C","2A","2B","2C","3A","3B","3C","4A","4B","4C"},{12,11,10,9,8,7,6,5,4,3,2,1}))/2</x:f>
        <x:v>9</x:v>
      </x:c>
    </x:row>
    <x:row r="13" spans="1:22" s="8" customFormat="1" customHeight="1">
      <x:c r="A13" s="85">
        <x:v>9</x:v>
      </x:c>
      <x:c r="B13" s="85" t="s">
        <x:v>368</x:v>
      </x:c>
      <x:c r="C13" s="86" t="s">
        <x:v>381</x:v>
      </x:c>
      <x:c r="D13" s="86" t="s">
        <x:v>168</x:v>
      </x:c>
      <x:c r="E13" s="86"/>
      <x:c r="F13" s="86" t="s">
        <x:v>172</x:v>
      </x:c>
      <x:c r="G13" s="86"/>
      <x:c r="H13" s="86" t="s">
        <x:v>267</x:v>
      </x:c>
      <x:c r="I13" s="90" t="s">
        <x:v>325</x:v>
      </x:c>
      <x:c r="J13" s="88" t="s">
        <x:v>225</x:v>
      </x:c>
      <x:c r="K13" s="89" t="s">
        <x:v>225</x:v>
      </x:c>
      <x:c r="L13" s="240" t="s">
        <x:v>225</x:v>
      </x:c>
      <x:c r="M13" s="351" t="str">
        <x:f>LOOKUP(V13,{1,2,3,4,5,6,7,8,9,10,11,12},{"4C","4B","4A","3C","3B","3A","2C","2B","2A","1C","1B","1A"})</x:f>
        <x:v>1A</x:v>
      </x:c>
      <x:c r="N13" s="88" t="s">
        <x:v>225</x:v>
      </x:c>
      <x:c r="O13" s="89" t="s">
        <x:v>225</x:v>
      </x:c>
      <x:c r="P13" s="262" t="s">
        <x:v>225</x:v>
      </x:c>
      <x:c r="Q13" s="88"/>
      <x:c r="R13" s="89"/>
      <x:c r="S13" s="90"/>
      <x:c r="T13" s="223"/>
      <x:c r="V13" s="318">
        <x:f>(LOOKUP(J13,{"1A","1B","1C","2A","2B","2C","3A","3B","3C","4A","4B","4C"},{12,11,10,9,8,7,6,5,4,3,2,1})+LOOKUP(K13,{"1A","1B","1C","2A","2B","2C","3A","3B","3C","4A","4B","4C"},{12,11,10,9,8,7,6,5,4,3,2,1}))/2</x:f>
        <x:v>12</x:v>
      </x:c>
    </x:row>
    <x:row r="14" spans="1:22" s="14" customFormat="1" customHeight="1">
      <x:c r="A14" s="73">
        <x:v>10</x:v>
      </x:c>
      <x:c r="B14" s="16" t="s">
        <x:v>368</x:v>
      </x:c>
      <x:c r="C14" s="16" t="s">
        <x:v>285</x:v>
      </x:c>
      <x:c r="D14" s="16" t="s">
        <x:v>168</x:v>
      </x:c>
      <x:c r="E14" s="16"/>
      <x:c r="F14" s="16" t="s">
        <x:v>65</x:v>
      </x:c>
      <x:c r="G14" s="16"/>
      <x:c r="H14" s="16" t="s">
        <x:v>267</x:v>
      </x:c>
      <x:c r="I14" s="202" t="s">
        <x:v>327</x:v>
      </x:c>
      <x:c r="J14" s="31" t="s">
        <x:v>225</x:v>
      </x:c>
      <x:c r="K14" s="17" t="s">
        <x:v>223</x:v>
      </x:c>
      <x:c r="L14" s="350" t="s">
        <x:v>225</x:v>
      </x:c>
      <x:c r="M14" s="351" t="str">
        <x:f>LOOKUP(V14,{1,2,3,4,5,6,7,8,9,10,11,12},{"4C","4B","4A","3C","3B","3A","2C","2B","2A","1C","1B","1A"})</x:f>
        <x:v>1C</x:v>
      </x:c>
      <x:c r="N14" s="31" t="s">
        <x:v>225</x:v>
      </x:c>
      <x:c r="O14" s="17" t="s">
        <x:v>223</x:v>
      </x:c>
      <x:c r="P14" s="79" t="s">
        <x:v>225</x:v>
      </x:c>
      <x:c r="Q14" s="28"/>
      <x:c r="R14" s="17" t="s">
        <x:v>158</x:v>
      </x:c>
      <x:c r="S14" s="29"/>
      <x:c r="T14" s="42"/>
      <x:c r="V14" s="318">
        <x:f>(LOOKUP(J14,{"1A","1B","1C","2A","2B","2C","3A","3B","3C","4A","4B","4C"},{12,11,10,9,8,7,6,5,4,3,2,1})+LOOKUP(K14,{"1A","1B","1C","2A","2B","2C","3A","3B","3C","4A","4B","4C"},{12,11,10,9,8,7,6,5,4,3,2,1}))/2</x:f>
        <x:v>10</x:v>
      </x:c>
    </x:row>
    <x:row r="15" spans="1:22" s="14" customFormat="1" customHeight="1">
      <x:c r="A15" s="97">
        <x:v>11</x:v>
      </x:c>
      <x:c r="B15" s="16" t="s">
        <x:v>368</x:v>
      </x:c>
      <x:c r="C15" s="16" t="s">
        <x:v>381</x:v>
      </x:c>
      <x:c r="D15" s="16" t="s">
        <x:v>210</x:v>
      </x:c>
      <x:c r="E15" s="16"/>
      <x:c r="F15" s="16" t="s">
        <x:v>37</x:v>
      </x:c>
      <x:c r="G15" s="16"/>
      <x:c r="H15" s="16" t="s">
        <x:v>267</x:v>
      </x:c>
      <x:c r="I15" s="202" t="s">
        <x:v>325</x:v>
      </x:c>
      <x:c r="J15" s="31" t="s">
        <x:v>230</x:v>
      </x:c>
      <x:c r="K15" s="17" t="s">
        <x:v>230</x:v>
      </x:c>
      <x:c r="L15" s="346" t="s">
        <x:v>230</x:v>
      </x:c>
      <x:c r="M15" s="351" t="str">
        <x:f>LOOKUP(V15,{1,2,3,4,5,6,7,8,9,10,11,12},{"4C","4B","4A","3C","3B","3A","2C","2B","2A","1C","1B","1A"})</x:f>
        <x:v>4A</x:v>
      </x:c>
      <x:c r="N15" s="31" t="s">
        <x:v>230</x:v>
      </x:c>
      <x:c r="O15" s="17" t="s">
        <x:v>230</x:v>
      </x:c>
      <x:c r="P15" s="128" t="s">
        <x:v>230</x:v>
      </x:c>
      <x:c r="Q15" s="28" t="s">
        <x:v>191</x:v>
      </x:c>
      <x:c r="R15" s="17"/>
      <x:c r="S15" s="29"/>
      <x:c r="T15" s="42"/>
      <x:c r="V15" s="318">
        <x:f>(LOOKUP(J15,{"1A","1B","1C","2A","2B","2C","3A","3B","3C","4A","4B","4C"},{12,11,10,9,8,7,6,5,4,3,2,1})+LOOKUP(K15,{"1A","1B","1C","2A","2B","2C","3A","3B","3C","4A","4B","4C"},{12,11,10,9,8,7,6,5,4,3,2,1}))/2</x:f>
        <x:v>3</x:v>
      </x:c>
    </x:row>
    <x:row r="16" spans="1:22" s="14" customFormat="1" customHeight="1">
      <x:c r="A16" s="73">
        <x:v>12</x:v>
      </x:c>
      <x:c r="B16" s="15" t="s">
        <x:v>368</x:v>
      </x:c>
      <x:c r="C16" s="15" t="s">
        <x:v>285</x:v>
      </x:c>
      <x:c r="D16" s="15" t="s">
        <x:v>217</x:v>
      </x:c>
      <x:c r="E16" s="16"/>
      <x:c r="F16" s="16" t="s">
        <x:v>255</x:v>
      </x:c>
      <x:c r="G16" s="16"/>
      <x:c r="H16" s="15" t="s">
        <x:v>267</x:v>
      </x:c>
      <x:c r="I16" s="45" t="s">
        <x:v>327</x:v>
      </x:c>
      <x:c r="J16" s="28" t="s">
        <x:v>225</x:v>
      </x:c>
      <x:c r="K16" s="17" t="s">
        <x:v>225</x:v>
      </x:c>
      <x:c r="L16" s="240" t="s">
        <x:v>225</x:v>
      </x:c>
      <x:c r="M16" s="351" t="str">
        <x:f>LOOKUP(V16,{1,2,3,4,5,6,7,8,9,10,11,12},{"4C","4B","4A","3C","3B","3A","2C","2B","2A","1C","1B","1A"})</x:f>
        <x:v>1A</x:v>
      </x:c>
      <x:c r="N16" s="28" t="s">
        <x:v>225</x:v>
      </x:c>
      <x:c r="O16" s="17" t="s">
        <x:v>225</x:v>
      </x:c>
      <x:c r="P16" s="66" t="s">
        <x:v>225</x:v>
      </x:c>
      <x:c r="Q16" s="28"/>
      <x:c r="R16" s="17"/>
      <x:c r="S16" s="29"/>
      <x:c r="T16" s="40" t="s">
        <x:v>350</x:v>
      </x:c>
      <x:c r="V16" s="318">
        <x:f>(LOOKUP(J16,{"1A","1B","1C","2A","2B","2C","3A","3B","3C","4A","4B","4C"},{12,11,10,9,8,7,6,5,4,3,2,1})+LOOKUP(K16,{"1A","1B","1C","2A","2B","2C","3A","3B","3C","4A","4B","4C"},{12,11,10,9,8,7,6,5,4,3,2,1}))/2</x:f>
        <x:v>12</x:v>
      </x:c>
    </x:row>
    <x:row r="17" spans="1:22" s="14" customFormat="1" customHeight="1">
      <x:c r="A17" s="97">
        <x:v>13</x:v>
      </x:c>
      <x:c r="B17" s="15" t="s">
        <x:v>368</x:v>
      </x:c>
      <x:c r="C17" s="15" t="s">
        <x:v>381</x:v>
      </x:c>
      <x:c r="D17" s="15" t="s">
        <x:v>217</x:v>
      </x:c>
      <x:c r="E17" s="16"/>
      <x:c r="F17" s="16" t="s">
        <x:v>142</x:v>
      </x:c>
      <x:c r="G17" s="16"/>
      <x:c r="H17" s="15" t="s">
        <x:v>267</x:v>
      </x:c>
      <x:c r="I17" s="45" t="s">
        <x:v>325</x:v>
      </x:c>
      <x:c r="J17" s="28" t="s">
        <x:v>225</x:v>
      </x:c>
      <x:c r="K17" s="17" t="s">
        <x:v>191</x:v>
      </x:c>
      <x:c r="L17" s="240" t="s">
        <x:v>225</x:v>
      </x:c>
      <x:c r="M17" s="351" t="str">
        <x:f>LOOKUP(V17,{1,2,3,4,5,6,7,8,9,10,11,12},{"4C","4B","4A","3C","3B","3A","2C","2B","2A","1C","1B","1A"})</x:f>
        <x:v>2B</x:v>
      </x:c>
      <x:c r="N17" s="28" t="s">
        <x:v>225</x:v>
      </x:c>
      <x:c r="O17" s="17" t="s">
        <x:v>191</x:v>
      </x:c>
      <x:c r="P17" s="66" t="s">
        <x:v>225</x:v>
      </x:c>
      <x:c r="Q17" s="28"/>
      <x:c r="R17" s="28" t="s">
        <x:v>188</x:v>
      </x:c>
      <x:c r="S17" s="29"/>
      <x:c r="T17" s="42"/>
      <x:c r="V17" s="318">
        <x:f>(LOOKUP(J17,{"1A","1B","1C","2A","2B","2C","3A","3B","3C","4A","4B","4C"},{12,11,10,9,8,7,6,5,4,3,2,1})+LOOKUP(K17,{"1A","1B","1C","2A","2B","2C","3A","3B","3C","4A","4B","4C"},{12,11,10,9,8,7,6,5,4,3,2,1}))/2</x:f>
        <x:v>8</x:v>
      </x:c>
    </x:row>
    <x:row r="18" spans="1:22" s="14" customFormat="1" customHeight="1">
      <x:c r="A18" s="64">
        <x:v>14</x:v>
      </x:c>
      <x:c r="B18" s="55" t="s">
        <x:v>368</x:v>
      </x:c>
      <x:c r="C18" s="56" t="s">
        <x:v>285</x:v>
      </x:c>
      <x:c r="D18" s="56" t="s">
        <x:v>217</x:v>
      </x:c>
      <x:c r="E18" s="56"/>
      <x:c r="F18" s="56" t="s">
        <x:v>253</x:v>
      </x:c>
      <x:c r="G18" s="56"/>
      <x:c r="H18" s="56" t="s">
        <x:v>267</x:v>
      </x:c>
      <x:c r="I18" s="35" t="s">
        <x:v>327</x:v>
      </x:c>
      <x:c r="J18" s="34" t="s">
        <x:v>238</x:v>
      </x:c>
      <x:c r="K18" s="21" t="s">
        <x:v>238</x:v>
      </x:c>
      <x:c r="L18" s="240" t="s">
        <x:v>238</x:v>
      </x:c>
      <x:c r="M18" s="351" t="str">
        <x:f>LOOKUP(V18,{1,2,3,4,5,6,7,8,9,10,11,12},{"4C","4B","4A","3C","3B","3A","2C","2B","2A","1C","1B","1A"})</x:f>
        <x:v>4C</x:v>
      </x:c>
      <x:c r="N18" s="34" t="s">
        <x:v>238</x:v>
      </x:c>
      <x:c r="O18" s="21" t="s">
        <x:v>238</x:v>
      </x:c>
      <x:c r="P18" s="83" t="s">
        <x:v>238</x:v>
      </x:c>
      <x:c r="Q18" s="34"/>
      <x:c r="R18" s="21"/>
      <x:c r="S18" s="35"/>
      <x:c r="T18" s="35"/>
      <x:c r="V18" s="318">
        <x:f>(LOOKUP(J18,{"1A","1B","1C","2A","2B","2C","3A","3B","3C","4A","4B","4C"},{12,11,10,9,8,7,6,5,4,3,2,1})+LOOKUP(K18,{"1A","1B","1C","2A","2B","2C","3A","3B","3C","4A","4B","4C"},{12,11,10,9,8,7,6,5,4,3,2,1}))/2</x:f>
        <x:v>1</x:v>
      </x:c>
    </x:row>
    <x:row r="19" spans="1:22" s="14" customFormat="1" customHeight="1">
      <x:c r="A19" s="97">
        <x:v>15</x:v>
      </x:c>
      <x:c r="B19" s="15" t="s">
        <x:v>368</x:v>
      </x:c>
      <x:c r="C19" s="15" t="s">
        <x:v>381</x:v>
      </x:c>
      <x:c r="D19" s="15" t="s">
        <x:v>217</x:v>
      </x:c>
      <x:c r="E19" s="16"/>
      <x:c r="F19" s="16" t="s">
        <x:v>98</x:v>
      </x:c>
      <x:c r="G19" s="16"/>
      <x:c r="H19" s="15" t="s">
        <x:v>267</x:v>
      </x:c>
      <x:c r="I19" s="29" t="s">
        <x:v>327</x:v>
      </x:c>
      <x:c r="J19" s="28" t="s">
        <x:v>225</x:v>
      </x:c>
      <x:c r="K19" s="17" t="s">
        <x:v>225</x:v>
      </x:c>
      <x:c r="L19" s="240" t="s">
        <x:v>225</x:v>
      </x:c>
      <x:c r="M19" s="351" t="str">
        <x:f>LOOKUP(V19,{1,2,3,4,5,6,7,8,9,10,11,12},{"4C","4B","4A","3C","3B","3A","2C","2B","2A","1C","1B","1A"})</x:f>
        <x:v>1A</x:v>
      </x:c>
      <x:c r="N19" s="28" t="s">
        <x:v>225</x:v>
      </x:c>
      <x:c r="O19" s="17" t="s">
        <x:v>225</x:v>
      </x:c>
      <x:c r="P19" s="66" t="s">
        <x:v>225</x:v>
      </x:c>
      <x:c r="Q19" s="28"/>
      <x:c r="R19" s="17"/>
      <x:c r="S19" s="29"/>
      <x:c r="T19" s="40" t="s">
        <x:v>350</x:v>
      </x:c>
      <x:c r="V19" s="318">
        <x:f>(LOOKUP(J19,{"1A","1B","1C","2A","2B","2C","3A","3B","3C","4A","4B","4C"},{12,11,10,9,8,7,6,5,4,3,2,1})+LOOKUP(K19,{"1A","1B","1C","2A","2B","2C","3A","3B","3C","4A","4B","4C"},{12,11,10,9,8,7,6,5,4,3,2,1}))/2</x:f>
        <x:v>12</x:v>
      </x:c>
    </x:row>
    <x:row r="20" spans="1:22" s="12" customFormat="1" customHeight="1">
      <x:c r="A20" s="73">
        <x:v>16</x:v>
      </x:c>
      <x:c r="B20" s="15" t="s">
        <x:v>368</x:v>
      </x:c>
      <x:c r="C20" s="15" t="s">
        <x:v>381</x:v>
      </x:c>
      <x:c r="D20" s="15" t="s">
        <x:v>217</x:v>
      </x:c>
      <x:c r="E20" s="16"/>
      <x:c r="F20" s="16" t="s">
        <x:v>197</x:v>
      </x:c>
      <x:c r="G20" s="16"/>
      <x:c r="H20" s="15" t="s">
        <x:v>267</x:v>
      </x:c>
      <x:c r="I20" s="29" t="s">
        <x:v>325</x:v>
      </x:c>
      <x:c r="J20" s="28" t="s">
        <x:v>191</x:v>
      </x:c>
      <x:c r="K20" s="17" t="s">
        <x:v>215</x:v>
      </x:c>
      <x:c r="L20" s="240" t="s">
        <x:v>215</x:v>
      </x:c>
      <x:c r="M20" s="351" t="str">
        <x:f>LOOKUP(V20,{1,2,3,4,5,6,7,8,9,10,11,12},{"4C","4B","4A","3C","3B","3A","2C","2B","2A","1C","1B","1A"})</x:f>
        <x:v>2C</x:v>
      </x:c>
      <x:c r="N20" s="28" t="s">
        <x:v>191</x:v>
      </x:c>
      <x:c r="O20" s="17" t="s">
        <x:v>215</x:v>
      </x:c>
      <x:c r="P20" s="66" t="s">
        <x:v>215</x:v>
      </x:c>
      <x:c r="Q20" s="28"/>
      <x:c r="R20" s="17" t="s">
        <x:v>162</x:v>
      </x:c>
      <x:c r="S20" s="29"/>
      <x:c r="T20" s="42"/>
      <x:c r="V20" s="318">
        <x:f>(LOOKUP(J20,{"1A","1B","1C","2A","2B","2C","3A","3B","3C","4A","4B","4C"},{12,11,10,9,8,7,6,5,4,3,2,1})+LOOKUP(K20,{"1A","1B","1C","2A","2B","2C","3A","3B","3C","4A","4B","4C"},{12,11,10,9,8,7,6,5,4,3,2,1}))/2</x:f>
        <x:v>7</x:v>
      </x:c>
    </x:row>
    <x:row r="21" spans="1:22" s="14" customFormat="1" customHeight="1">
      <x:c r="A21" s="55">
        <x:v>17</x:v>
      </x:c>
      <x:c r="B21" s="56" t="s">
        <x:v>368</x:v>
      </x:c>
      <x:c r="C21" s="56" t="s">
        <x:v>285</x:v>
      </x:c>
      <x:c r="D21" s="56" t="s">
        <x:v>173</x:v>
      </x:c>
      <x:c r="E21" s="56"/>
      <x:c r="F21" s="56" t="s">
        <x:v>219</x:v>
      </x:c>
      <x:c r="G21" s="56"/>
      <x:c r="H21" s="56" t="s">
        <x:v>267</x:v>
      </x:c>
      <x:c r="I21" s="35" t="s">
        <x:v>339</x:v>
      </x:c>
      <x:c r="J21" s="34" t="s">
        <x:v>175</x:v>
      </x:c>
      <x:c r="K21" s="21" t="s">
        <x:v>230</x:v>
      </x:c>
      <x:c r="L21" s="240" t="s">
        <x:v>175</x:v>
      </x:c>
      <x:c r="M21" s="351" t="str">
        <x:f>LOOKUP(V21,{1,2,3,4,5,6,7,8,9,10,11,12},{"4C","4B","4A","3C","3B","3A","2C","2B","2A","1C","1B","1A"})</x:f>
        <x:v>3B</x:v>
      </x:c>
      <x:c r="N21" s="34" t="s">
        <x:v>175</x:v>
      </x:c>
      <x:c r="O21" s="21" t="s">
        <x:v>230</x:v>
      </x:c>
      <x:c r="P21" s="83" t="s">
        <x:v>175</x:v>
      </x:c>
      <x:c r="Q21" s="34"/>
      <x:c r="R21" s="21"/>
      <x:c r="S21" s="35"/>
      <x:c r="T21" s="80"/>
      <x:c r="V21" s="318">
        <x:f>(LOOKUP(J21,{"1A","1B","1C","2A","2B","2C","3A","3B","3C","4A","4B","4C"},{12,11,10,9,8,7,6,5,4,3,2,1})+LOOKUP(K21,{"1A","1B","1C","2A","2B","2C","3A","3B","3C","4A","4B","4C"},{12,11,10,9,8,7,6,5,4,3,2,1}))/2</x:f>
        <x:v>5</x:v>
      </x:c>
    </x:row>
    <x:row r="22" spans="1:22" s="14" customFormat="1" customHeight="1">
      <x:c r="A22" s="73">
        <x:v>18</x:v>
      </x:c>
      <x:c r="B22" s="15" t="s">
        <x:v>368</x:v>
      </x:c>
      <x:c r="C22" s="15" t="s">
        <x:v>381</x:v>
      </x:c>
      <x:c r="D22" s="16" t="s">
        <x:v>173</x:v>
      </x:c>
      <x:c r="E22" s="16"/>
      <x:c r="F22" s="16" t="s">
        <x:v>104</x:v>
      </x:c>
      <x:c r="G22" s="16"/>
      <x:c r="H22" s="15" t="s">
        <x:v>267</x:v>
      </x:c>
      <x:c r="I22" s="29" t="s">
        <x:v>325</x:v>
      </x:c>
      <x:c r="J22" s="28" t="s">
        <x:v>188</x:v>
      </x:c>
      <x:c r="K22" s="17" t="s">
        <x:v>230</x:v>
      </x:c>
      <x:c r="L22" s="240" t="s">
        <x:v>188</x:v>
      </x:c>
      <x:c r="M22" s="351" t="str">
        <x:f>LOOKUP(V22,{1,2,3,4,5,6,7,8,9,10,11,12},{"4C","4B","4A","3C","3B","3A","2C","2B","2A","1C","1B","1A"})</x:f>
        <x:v>3C</x:v>
      </x:c>
      <x:c r="N22" s="28" t="s">
        <x:v>188</x:v>
      </x:c>
      <x:c r="O22" s="17" t="s">
        <x:v>230</x:v>
      </x:c>
      <x:c r="P22" s="66" t="s">
        <x:v>188</x:v>
      </x:c>
      <x:c r="Q22" s="28"/>
      <x:c r="R22" s="17" t="s">
        <x:v>191</x:v>
      </x:c>
      <x:c r="S22" s="29"/>
      <x:c r="T22" s="42"/>
      <x:c r="V22" s="318">
        <x:f>(LOOKUP(J22,{"1A","1B","1C","2A","2B","2C","3A","3B","3C","4A","4B","4C"},{12,11,10,9,8,7,6,5,4,3,2,1})+LOOKUP(K22,{"1A","1B","1C","2A","2B","2C","3A","3B","3C","4A","4B","4C"},{12,11,10,9,8,7,6,5,4,3,2,1}))/2</x:f>
        <x:v>4</x:v>
      </x:c>
    </x:row>
    <x:row r="23" spans="1:22" s="14" customFormat="1" customHeight="1">
      <x:c r="A23" s="97">
        <x:v>19</x:v>
      </x:c>
      <x:c r="B23" s="38" t="s">
        <x:v>368</x:v>
      </x:c>
      <x:c r="C23" s="15" t="s">
        <x:v>381</x:v>
      </x:c>
      <x:c r="D23" s="15" t="s">
        <x:v>173</x:v>
      </x:c>
      <x:c r="E23" s="16"/>
      <x:c r="F23" s="16" t="s">
        <x:v>82</x:v>
      </x:c>
      <x:c r="G23" s="16"/>
      <x:c r="H23" s="15" t="s">
        <x:v>267</x:v>
      </x:c>
      <x:c r="I23" s="29" t="s">
        <x:v>325</x:v>
      </x:c>
      <x:c r="J23" s="28" t="s">
        <x:v>201</x:v>
      </x:c>
      <x:c r="K23" s="18" t="s">
        <x:v>36</x:v>
      </x:c>
      <x:c r="L23" s="350" t="s">
        <x:v>36</x:v>
      </x:c>
      <x:c r="M23" s="351" t="str">
        <x:f>LOOKUP(V23,{1,2,3,4,5,6,7,8,9,10,11,12},{"4C","4B","4A","3C","3B","3A","2C","2B","2A","1C","1B","1A"})</x:f>
        <x:v>3C</x:v>
      </x:c>
      <x:c r="N23" s="28" t="s">
        <x:v>201</x:v>
      </x:c>
      <x:c r="O23" s="368" t="s">
        <x:v>36</x:v>
      </x:c>
      <x:c r="P23" s="366" t="s">
        <x:v>175</x:v>
      </x:c>
      <x:c r="Q23" s="28"/>
      <x:c r="R23" s="17" t="s">
        <x:v>175</x:v>
      </x:c>
      <x:c r="S23" s="29"/>
      <x:c r="T23" s="42"/>
      <x:c r="V23" s="318">
        <x:f>(LOOKUP(J23,{"1A","1B","1C","2A","2B","2C","3A","3B","3C","4A","4B","4C"},{12,11,10,9,8,7,6,5,4,3,2,1})+LOOKUP(K23,{"1A","1B","1C","2A","2B","2C","3A","3B","3C","4A","4B","4C"},{12,11,10,9,8,7,6,5,4,3,2,1}))/2</x:f>
        <x:v>4</x:v>
      </x:c>
    </x:row>
    <x:row r="24" spans="1:22" s="8" customFormat="1" customHeight="1">
      <x:c r="A24" s="224">
        <x:v>20</x:v>
      </x:c>
      <x:c r="B24" s="85" t="s">
        <x:v>368</x:v>
      </x:c>
      <x:c r="C24" s="86" t="s">
        <x:v>285</x:v>
      </x:c>
      <x:c r="D24" s="86" t="s">
        <x:v>173</x:v>
      </x:c>
      <x:c r="E24" s="86"/>
      <x:c r="F24" s="86" t="s">
        <x:v>284</x:v>
      </x:c>
      <x:c r="G24" s="86"/>
      <x:c r="H24" s="86" t="s">
        <x:v>267</x:v>
      </x:c>
      <x:c r="I24" s="90" t="s">
        <x:v>327</x:v>
      </x:c>
      <x:c r="J24" s="88"/>
      <x:c r="K24" s="264"/>
      <x:c r="L24" s="350"/>
      <x:c r="M24" s="351" t="e">
        <x:f>LOOKUP(V24,{1,2,3,4,5,6,7,8,9,10,11,12},{"4C","4B","4A","3C","3B","3A","2C","2B","2A","1C","1B","1A"})</x:f>
        <x:v>#N/A</x:v>
      </x:c>
      <x:c r="N24" s="88" t="s">
        <x:v>238</x:v>
      </x:c>
      <x:c r="O24" s="264" t="s">
        <x:v>238</x:v>
      </x:c>
      <x:c r="P24" s="265" t="s">
        <x:v>238</x:v>
      </x:c>
      <x:c r="Q24" s="88" t="s">
        <x:v>230</x:v>
      </x:c>
      <x:c r="R24" s="89"/>
      <x:c r="S24" s="90"/>
      <x:c r="T24" s="223"/>
      <x:c r="V24" s="318" t="e">
        <x:f>(LOOKUP(J24,{"1A","1B","1C","2A","2B","2C","3A","3B","3C","4A","4B","4C"},{12,11,10,9,8,7,6,5,4,3,2,1})+LOOKUP(K24,{"1A","1B","1C","2A","2B","2C","3A","3B","3C","4A","4B","4C"},{12,11,10,9,8,7,6,5,4,3,2,1}))/2</x:f>
        <x:v>#N/A</x:v>
      </x:c>
    </x:row>
    <x:row r="25" spans="1:22" s="14" customFormat="1" customHeight="1">
      <x:c r="A25" s="97">
        <x:v>21</x:v>
      </x:c>
      <x:c r="B25" s="15" t="s">
        <x:v>368</x:v>
      </x:c>
      <x:c r="C25" s="15" t="s">
        <x:v>381</x:v>
      </x:c>
      <x:c r="D25" s="15" t="s">
        <x:v>171</x:v>
      </x:c>
      <x:c r="E25" s="16"/>
      <x:c r="F25" s="16" t="s">
        <x:v>133</x:v>
      </x:c>
      <x:c r="G25" s="16"/>
      <x:c r="H25" s="15" t="s">
        <x:v>267</x:v>
      </x:c>
      <x:c r="I25" s="29" t="s">
        <x:v>325</x:v>
      </x:c>
      <x:c r="J25" s="28" t="s">
        <x:v>175</x:v>
      </x:c>
      <x:c r="K25" s="17" t="s">
        <x:v>238</x:v>
      </x:c>
      <x:c r="L25" s="240" t="s">
        <x:v>188</x:v>
      </x:c>
      <x:c r="M25" s="351" t="str">
        <x:f>LOOKUP(V25,{1,2,3,4,5,6,7,8,9,10,11,12},{"4C","4B","4A","3C","3B","3A","2C","2B","2A","1C","1B","1A"})</x:f>
        <x:v>3C</x:v>
      </x:c>
      <x:c r="N25" s="28" t="s">
        <x:v>175</x:v>
      </x:c>
      <x:c r="O25" s="17" t="s">
        <x:v>238</x:v>
      </x:c>
      <x:c r="P25" s="66" t="s">
        <x:v>188</x:v>
      </x:c>
      <x:c r="Q25" s="28" t="s">
        <x:v>158</x:v>
      </x:c>
      <x:c r="R25" s="17"/>
      <x:c r="S25" s="29"/>
      <x:c r="T25" s="42"/>
      <x:c r="V25" s="318">
        <x:f>(LOOKUP(J25,{"1A","1B","1C","2A","2B","2C","3A","3B","3C","4A","4B","4C"},{12,11,10,9,8,7,6,5,4,3,2,1})+LOOKUP(K25,{"1A","1B","1C","2A","2B","2C","3A","3B","3C","4A","4B","4C"},{12,11,10,9,8,7,6,5,4,3,2,1}))/2</x:f>
        <x:v>4</x:v>
      </x:c>
    </x:row>
    <x:row r="26" spans="1:22" s="14" customFormat="1" customHeight="1">
      <x:c r="A26" s="68">
        <x:v>22</x:v>
      </x:c>
      <x:c r="B26" s="68" t="s">
        <x:v>368</x:v>
      </x:c>
      <x:c r="C26" s="68" t="s">
        <x:v>285</x:v>
      </x:c>
      <x:c r="D26" s="68" t="s">
        <x:v>171</x:v>
      </x:c>
      <x:c r="E26" s="68"/>
      <x:c r="F26" s="68" t="s">
        <x:v>67</x:v>
      </x:c>
      <x:c r="G26" s="68"/>
      <x:c r="H26" s="68" t="s">
        <x:v>267</x:v>
      </x:c>
      <x:c r="I26" s="69" t="s">
        <x:v>327</x:v>
      </x:c>
      <x:c r="J26" s="67" t="s">
        <x:v>215</x:v>
      </x:c>
      <x:c r="K26" s="68" t="s">
        <x:v>230</x:v>
      </x:c>
      <x:c r="L26" s="323" t="s">
        <x:v>158</x:v>
      </x:c>
      <x:c r="M26" s="351" t="str">
        <x:f>LOOKUP(V26,{1,2,3,4,5,6,7,8,9,10,11,12},{"4C","4B","4A","3C","3B","3A","2C","2B","2A","1C","1B","1A"})</x:f>
        <x:v>3A</x:v>
      </x:c>
      <x:c r="N26" s="67" t="s">
        <x:v>215</x:v>
      </x:c>
      <x:c r="O26" s="68" t="s">
        <x:v>230</x:v>
      </x:c>
      <x:c r="P26" s="130" t="s">
        <x:v>158</x:v>
      </x:c>
      <x:c r="Q26" s="67" t="s">
        <x:v>225</x:v>
      </x:c>
      <x:c r="R26" s="68"/>
      <x:c r="S26" s="69"/>
      <x:c r="T26" s="203"/>
      <x:c r="V26" s="318">
        <x:f>(LOOKUP(J26,{"1A","1B","1C","2A","2B","2C","3A","3B","3C","4A","4B","4C"},{12,11,10,9,8,7,6,5,4,3,2,1})+LOOKUP(K26,{"1A","1B","1C","2A","2B","2C","3A","3B","3C","4A","4B","4C"},{12,11,10,9,8,7,6,5,4,3,2,1}))/2</x:f>
        <x:v>6.5</x:v>
      </x:c>
    </x:row>
    <x:row r="27" spans="22:22">
      <x:c r="V27" s="314"/>
    </x:row>
    <x:row r="28" spans="22:23">
      <x:c r="V28" s="371" t="e">
        <x:f>SUM(#REF!,#REF!)</x:f>
        <x:v>#REF!</x:v>
      </x:c>
      <x:c r="W28" s="372" t="e">
        <x:f>SUM(#REF!,#REF!)</x:f>
        <x:v>#REF!</x:v>
      </x:c>
    </x:row>
  </x:sheetData>
  <x:autoFilter ref="A4:T27"/>
  <x:mergeCells count="14">
    <x:mergeCell ref="A1:T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M3"/>
    <x:mergeCell ref="N3:P3"/>
    <x:mergeCell ref="Q3:S3"/>
    <x:mergeCell ref="T3:T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 filterMode="1"/>
  <x:dimension ref="A1:V37"/>
  <x:sheetViews>
    <x:sheetView topLeftCell="A1" zoomScaleNormal="75" zoomScaleSheetLayoutView="100" workbookViewId="0">
      <x:pane xSplit="8" ySplit="1" topLeftCell="I23" activePane="bottomRight" state="frozen"/>
      <x:selection pane="bottomRight" activeCell="A38" activeCellId="0" sqref="A38:XFD56"/>
    </x:sheetView>
  </x:sheetViews>
  <x:sheetFormatPr defaultColWidth="8.88671875" defaultRowHeight="14.19999999999999928946"/>
  <x:cols>
    <x:col min="1" max="1" width="4.34765625" style="98" bestFit="1" customWidth="1"/>
    <x:col min="2" max="2" width="17.4453125" style="20" customWidth="1"/>
    <x:col min="3" max="3" width="14.22265625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5.91796875" style="20" bestFit="1" customWidth="1"/>
    <x:col min="11" max="11" width="8.29296875" style="20" bestFit="1" customWidth="1"/>
    <x:col min="12" max="13" width="9.51953125" style="20" bestFit="1" customWidth="1"/>
    <x:col min="14" max="14" width="5.91796875" style="20" bestFit="1" customWidth="1"/>
    <x:col min="15" max="15" width="8.29296875" style="20" bestFit="1" customWidth="1"/>
    <x:col min="16" max="16" width="5.91796875" style="20" bestFit="1" customWidth="1"/>
    <x:col min="17" max="17" width="7.40625" style="41" bestFit="1" customWidth="1"/>
    <x:col min="18" max="18" width="8.29296875" style="41" bestFit="1" customWidth="1"/>
    <x:col min="19" max="19" width="7.40625" style="41" bestFit="1" customWidth="1"/>
    <x:col min="20" max="20" width="8.88671875" style="27"/>
    <x:col min="22" max="22" width="8.88671875" style="3" bestFit="1" customWidth="1"/>
    <x:col min="23" max="23" width="8.88671875" style="2" bestFit="1" customWidth="1"/>
  </x:cols>
  <x:sheetData>
    <x:row r="1" spans="1:20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</x:row>
    <x:row r="2" spans="1:20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</x:row>
    <x:row r="3" spans="1:20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470" t="s">
        <x:v>333</x:v>
      </x:c>
      <x:c r="K3" s="471"/>
      <x:c r="L3" s="472"/>
      <x:c r="M3" s="473"/>
      <x:c r="N3" s="470" t="s">
        <x:v>332</x:v>
      </x:c>
      <x:c r="O3" s="471"/>
      <x:c r="P3" s="473"/>
      <x:c r="Q3" s="467" t="s">
        <x:v>328</x:v>
      </x:c>
      <x:c r="R3" s="468"/>
      <x:c r="S3" s="469"/>
      <x:c r="T3" s="474" t="s">
        <x:v>348</x:v>
      </x:c>
    </x:row>
    <x:row r="4" spans="1:22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119" t="s">
        <x:v>160</x:v>
      </x:c>
      <x:c r="K4" s="120" t="s">
        <x:v>381</x:v>
      </x:c>
      <x:c r="L4" s="342" t="s">
        <x:v>363</x:v>
      </x:c>
      <x:c r="M4" s="353" t="s">
        <x:v>354</x:v>
      </x:c>
      <x:c r="N4" s="119" t="s">
        <x:v>160</x:v>
      </x:c>
      <x:c r="O4" s="120" t="s">
        <x:v>381</x:v>
      </x:c>
      <x:c r="P4" s="121" t="s">
        <x:v>192</x:v>
      </x:c>
      <x:c r="Q4" s="74" t="s">
        <x:v>160</x:v>
      </x:c>
      <x:c r="R4" s="75" t="s">
        <x:v>381</x:v>
      </x:c>
      <x:c r="S4" s="76" t="s">
        <x:v>192</x:v>
      </x:c>
      <x:c r="T4" s="475"/>
      <x:c r="V4" s="317" t="s">
        <x:v>291</x:v>
      </x:c>
    </x:row>
    <x:row r="5" spans="1:22" s="14" customFormat="1" customHeight="1">
      <x:c r="A5" s="73">
        <x:v>1</x:v>
      </x:c>
      <x:c r="B5" s="108" t="s">
        <x:v>361</x:v>
      </x:c>
      <x:c r="C5" s="109" t="s">
        <x:v>275</x:v>
      </x:c>
      <x:c r="D5" s="109" t="s">
        <x:v>179</x:v>
      </x:c>
      <x:c r="E5" s="56"/>
      <x:c r="F5" s="109" t="s">
        <x:v>180</x:v>
      </x:c>
      <x:c r="G5" s="56"/>
      <x:c r="H5" s="109" t="s">
        <x:v>272</x:v>
      </x:c>
      <x:c r="I5" s="110" t="s">
        <x:v>218</x:v>
      </x:c>
      <x:c r="J5" s="204" t="s">
        <x:v>225</x:v>
      </x:c>
      <x:c r="K5" s="205" t="s">
        <x:v>225</x:v>
      </x:c>
      <x:c r="L5" s="344" t="s">
        <x:v>225</x:v>
      </x:c>
      <x:c r="M5" s="354" t="str">
        <x:f>LOOKUP(V5,{1,2,3,4,5,6,7,8,9,10,11,12},{"4C","4B","4A","3C","3B","3A","2C","2B","2A","1C","1B","1A"})</x:f>
        <x:v>1A</x:v>
      </x:c>
      <x:c r="N5" s="204" t="s">
        <x:v>225</x:v>
      </x:c>
      <x:c r="O5" s="205" t="s">
        <x:v>225</x:v>
      </x:c>
      <x:c r="P5" s="206" t="s">
        <x:v>225</x:v>
      </x:c>
      <x:c r="Q5" s="34"/>
      <x:c r="R5" s="21"/>
      <x:c r="S5" s="35"/>
      <x:c r="T5" s="80"/>
      <x:c r="V5" s="318">
        <x:f>(LOOKUP(J5,{"1A","1B","1C","2A","2B","2C","3A","3B","3C","4A","4B","4C"},{12,11,10,9,8,7,6,5,4,3,2,1})+LOOKUP(K5,{"1A","1B","1C","2A","2B","2C","3A","3B","3C","4A","4B","4C"},{12,11,10,9,8,7,6,5,4,3,2,1}))/2</x:f>
        <x:v>12</x:v>
      </x:c>
    </x:row>
    <x:row r="6" spans="1:22" s="14" customFormat="1" customHeight="1">
      <x:c r="A6" s="97">
        <x:v>2</x:v>
      </x:c>
      <x:c r="B6" s="54" t="s">
        <x:v>361</x:v>
      </x:c>
      <x:c r="C6" s="54" t="s">
        <x:v>275</x:v>
      </x:c>
      <x:c r="D6" s="54" t="s">
        <x:v>179</x:v>
      </x:c>
      <x:c r="E6" s="16"/>
      <x:c r="F6" s="54" t="s">
        <x:v>132</x:v>
      </x:c>
      <x:c r="G6" s="16"/>
      <x:c r="H6" s="54" t="s">
        <x:v>272</x:v>
      </x:c>
      <x:c r="I6" s="57" t="s">
        <x:v>344</x:v>
      </x:c>
      <x:c r="J6" s="92" t="s">
        <x:v>225</x:v>
      </x:c>
      <x:c r="K6" s="93" t="s">
        <x:v>225</x:v>
      </x:c>
      <x:c r="L6" s="344" t="s">
        <x:v>225</x:v>
      </x:c>
      <x:c r="M6" s="354" t="str">
        <x:f>LOOKUP(V6,{1,2,3,4,5,6,7,8,9,10,11,12},{"4C","4B","4A","3C","3B","3A","2C","2B","2A","1C","1B","1A"})</x:f>
        <x:v>1A</x:v>
      </x:c>
      <x:c r="N6" s="92" t="s">
        <x:v>225</x:v>
      </x:c>
      <x:c r="O6" s="93" t="s">
        <x:v>225</x:v>
      </x:c>
      <x:c r="P6" s="58" t="s">
        <x:v>225</x:v>
      </x:c>
      <x:c r="Q6" s="28"/>
      <x:c r="R6" s="17"/>
      <x:c r="S6" s="29"/>
      <x:c r="T6" s="40" t="s">
        <x:v>350</x:v>
      </x:c>
      <x:c r="V6" s="318">
        <x:f>(LOOKUP(J6,{"1A","1B","1C","2A","2B","2C","3A","3B","3C","4A","4B","4C"},{12,11,10,9,8,7,6,5,4,3,2,1})+LOOKUP(K6,{"1A","1B","1C","2A","2B","2C","3A","3B","3C","4A","4B","4C"},{12,11,10,9,8,7,6,5,4,3,2,1}))/2</x:f>
        <x:v>12</x:v>
      </x:c>
    </x:row>
    <x:row r="7" spans="1:22" s="14" customFormat="1" customHeight="1">
      <x:c r="A7" s="73">
        <x:v>3</x:v>
      </x:c>
      <x:c r="B7" s="54" t="s">
        <x:v>361</x:v>
      </x:c>
      <x:c r="C7" s="54" t="s">
        <x:v>275</x:v>
      </x:c>
      <x:c r="D7" s="54" t="s">
        <x:v>246</x:v>
      </x:c>
      <x:c r="E7" s="16"/>
      <x:c r="F7" s="54" t="s">
        <x:v>282</x:v>
      </x:c>
      <x:c r="G7" s="16"/>
      <x:c r="H7" s="54" t="s">
        <x:v>272</x:v>
      </x:c>
      <x:c r="I7" s="57" t="s">
        <x:v>337</x:v>
      </x:c>
      <x:c r="J7" s="92" t="s">
        <x:v>225</x:v>
      </x:c>
      <x:c r="K7" s="93" t="s">
        <x:v>225</x:v>
      </x:c>
      <x:c r="L7" s="344" t="s">
        <x:v>225</x:v>
      </x:c>
      <x:c r="M7" s="354" t="str">
        <x:f>LOOKUP(V7,{1,2,3,4,5,6,7,8,9,10,11,12},{"4C","4B","4A","3C","3B","3A","2C","2B","2A","1C","1B","1A"})</x:f>
        <x:v>1A</x:v>
      </x:c>
      <x:c r="N7" s="92" t="s">
        <x:v>225</x:v>
      </x:c>
      <x:c r="O7" s="93" t="s">
        <x:v>225</x:v>
      </x:c>
      <x:c r="P7" s="58" t="s">
        <x:v>225</x:v>
      </x:c>
      <x:c r="Q7" s="28"/>
      <x:c r="R7" s="17"/>
      <x:c r="S7" s="29"/>
      <x:c r="T7" s="40" t="s">
        <x:v>350</x:v>
      </x:c>
      <x:c r="V7" s="318">
        <x:f>(LOOKUP(J7,{"1A","1B","1C","2A","2B","2C","3A","3B","3C","4A","4B","4C"},{12,11,10,9,8,7,6,5,4,3,2,1})+LOOKUP(K7,{"1A","1B","1C","2A","2B","2C","3A","3B","3C","4A","4B","4C"},{12,11,10,9,8,7,6,5,4,3,2,1}))/2</x:f>
        <x:v>12</x:v>
      </x:c>
    </x:row>
    <x:row r="8" spans="1:22" s="14" customFormat="1" customHeight="1">
      <x:c r="A8" s="97">
        <x:v>4</x:v>
      </x:c>
      <x:c r="B8" s="54" t="s">
        <x:v>361</x:v>
      </x:c>
      <x:c r="C8" s="54" t="s">
        <x:v>275</x:v>
      </x:c>
      <x:c r="D8" s="54" t="s">
        <x:v>217</x:v>
      </x:c>
      <x:c r="E8" s="16"/>
      <x:c r="F8" s="54" t="s">
        <x:v>125</x:v>
      </x:c>
      <x:c r="G8" s="16"/>
      <x:c r="H8" s="54" t="s">
        <x:v>272</x:v>
      </x:c>
      <x:c r="I8" s="57" t="s">
        <x:v>366</x:v>
      </x:c>
      <x:c r="J8" s="92" t="s">
        <x:v>225</x:v>
      </x:c>
      <x:c r="K8" s="93" t="s">
        <x:v>162</x:v>
      </x:c>
      <x:c r="L8" s="344" t="s">
        <x:v>225</x:v>
      </x:c>
      <x:c r="M8" s="354" t="str">
        <x:f>LOOKUP(V8,{1,2,3,4,5,6,7,8,9,10,11,12},{"4C","4B","4A","3C","3B","3A","2C","2B","2A","1C","1B","1A"})</x:f>
        <x:v>1B</x:v>
      </x:c>
      <x:c r="N8" s="92" t="s">
        <x:v>225</x:v>
      </x:c>
      <x:c r="O8" s="93" t="s">
        <x:v>162</x:v>
      </x:c>
      <x:c r="P8" s="58" t="s">
        <x:v>225</x:v>
      </x:c>
      <x:c r="Q8" s="28"/>
      <x:c r="R8" s="17" t="s">
        <x:v>225</x:v>
      </x:c>
      <x:c r="S8" s="29"/>
      <x:c r="T8" s="42"/>
      <x:c r="V8" s="318">
        <x:f>(LOOKUP(J8,{"1A","1B","1C","2A","2B","2C","3A","3B","3C","4A","4B","4C"},{12,11,10,9,8,7,6,5,4,3,2,1})+LOOKUP(K8,{"1A","1B","1C","2A","2B","2C","3A","3B","3C","4A","4B","4C"},{12,11,10,9,8,7,6,5,4,3,2,1}))/2</x:f>
        <x:v>11.5</x:v>
      </x:c>
    </x:row>
    <x:row r="9" spans="1:22" s="8" customFormat="1" customHeight="1">
      <x:c r="A9" s="73">
        <x:v>5</x:v>
      </x:c>
      <x:c r="B9" s="54" t="s">
        <x:v>361</x:v>
      </x:c>
      <x:c r="C9" s="54" t="s">
        <x:v>252</x:v>
      </x:c>
      <x:c r="D9" s="54" t="s">
        <x:v>173</x:v>
      </x:c>
      <x:c r="E9" s="16"/>
      <x:c r="F9" s="54" t="s">
        <x:v>278</x:v>
      </x:c>
      <x:c r="G9" s="16"/>
      <x:c r="H9" s="54" t="s">
        <x:v>272</x:v>
      </x:c>
      <x:c r="I9" s="57" t="s">
        <x:v>380</x:v>
      </x:c>
      <x:c r="J9" s="92"/>
      <x:c r="K9" s="93"/>
      <x:c r="L9" s="344"/>
      <x:c r="M9" s="354" t="e">
        <x:f>LOOKUP(V9,{1,2,3,4,5,6,7,8,9,10,11,12},{"4C","4B","4A","3C","3B","3A","2C","2B","2A","1C","1B","1A"})</x:f>
        <x:v>#N/A</x:v>
      </x:c>
      <x:c r="N9" s="92"/>
      <x:c r="O9" s="93"/>
      <x:c r="P9" s="58"/>
      <x:c r="Q9" s="28"/>
      <x:c r="R9" s="17"/>
      <x:c r="S9" s="29"/>
      <x:c r="T9" s="42"/>
      <x:c r="V9" s="318" t="e">
        <x:f>(LOOKUP(J9,{"1A","1B","1C","2A","2B","2C","3A","3B","3C","4A","4B","4C"},{12,11,10,9,8,7,6,5,4,3,2,1})+LOOKUP(K9,{"1A","1B","1C","2A","2B","2C","3A","3B","3C","4A","4B","4C"},{12,11,10,9,8,7,6,5,4,3,2,1}))/2</x:f>
        <x:v>#N/A</x:v>
      </x:c>
    </x:row>
    <x:row r="10" spans="1:22" s="14" customFormat="1" customHeight="1">
      <x:c r="A10" s="97">
        <x:v>6</x:v>
      </x:c>
      <x:c r="B10" s="54" t="s">
        <x:v>361</x:v>
      </x:c>
      <x:c r="C10" s="54" t="s">
        <x:v>275</x:v>
      </x:c>
      <x:c r="D10" s="54" t="s">
        <x:v>171</x:v>
      </x:c>
      <x:c r="E10" s="16"/>
      <x:c r="F10" s="54" t="s">
        <x:v>124</x:v>
      </x:c>
      <x:c r="G10" s="16"/>
      <x:c r="H10" s="54" t="s">
        <x:v>272</x:v>
      </x:c>
      <x:c r="I10" s="57" t="s">
        <x:v>340</x:v>
      </x:c>
      <x:c r="J10" s="92" t="s">
        <x:v>238</x:v>
      </x:c>
      <x:c r="K10" s="93" t="s">
        <x:v>36</x:v>
      </x:c>
      <x:c r="L10" s="344" t="s">
        <x:v>36</x:v>
      </x:c>
      <x:c r="M10" s="354" t="str">
        <x:f>LOOKUP(V10,{1,2,3,4,5,6,7,8,9,10,11,12},{"4C","4B","4A","3C","3B","3A","2C","2B","2A","1C","1B","1A"})</x:f>
        <x:v>4A</x:v>
      </x:c>
      <x:c r="N10" s="92" t="s">
        <x:v>238</x:v>
      </x:c>
      <x:c r="O10" s="93" t="s">
        <x:v>36</x:v>
      </x:c>
      <x:c r="P10" s="58" t="s">
        <x:v>36</x:v>
      </x:c>
      <x:c r="Q10" s="28"/>
      <x:c r="R10" s="17" t="s">
        <x:v>223</x:v>
      </x:c>
      <x:c r="S10" s="29"/>
      <x:c r="T10" s="42"/>
      <x:c r="V10" s="318">
        <x:f>(LOOKUP(J10,{"1A","1B","1C","2A","2B","2C","3A","3B","3C","4A","4B","4C"},{12,11,10,9,8,7,6,5,4,3,2,1})+LOOKUP(K10,{"1A","1B","1C","2A","2B","2C","3A","3B","3C","4A","4B","4C"},{12,11,10,9,8,7,6,5,4,3,2,1}))/2</x:f>
        <x:v>3.5</x:v>
      </x:c>
    </x:row>
    <x:row r="11" spans="1:22" s="14" customFormat="1" customHeight="1">
      <x:c r="A11" s="73">
        <x:v>7</x:v>
      </x:c>
      <x:c r="B11" s="193" t="s">
        <x:v>361</x:v>
      </x:c>
      <x:c r="C11" s="193" t="s">
        <x:v>252</x:v>
      </x:c>
      <x:c r="D11" s="193" t="s">
        <x:v>377</x:v>
      </x:c>
      <x:c r="E11" s="86"/>
      <x:c r="F11" s="193" t="s">
        <x:v>34</x:v>
      </x:c>
      <x:c r="G11" s="86"/>
      <x:c r="H11" s="193" t="s">
        <x:v>272</x:v>
      </x:c>
      <x:c r="I11" s="269" t="s">
        <x:v>320</x:v>
      </x:c>
      <x:c r="J11" s="270" t="s">
        <x:v>223</x:v>
      </x:c>
      <x:c r="K11" s="271" t="s">
        <x:v>225</x:v>
      </x:c>
      <x:c r="L11" s="344" t="s">
        <x:v>225</x:v>
      </x:c>
      <x:c r="M11" s="354" t="str">
        <x:f>LOOKUP(V11,{1,2,3,4,5,6,7,8,9,10,11,12},{"4C","4B","4A","3C","3B","3A","2C","2B","2A","1C","1B","1A"})</x:f>
        <x:v>1C</x:v>
      </x:c>
      <x:c r="N11" s="270" t="s">
        <x:v>223</x:v>
      </x:c>
      <x:c r="O11" s="271" t="s">
        <x:v>225</x:v>
      </x:c>
      <x:c r="P11" s="272" t="s">
        <x:v>225</x:v>
      </x:c>
      <x:c r="Q11" s="88"/>
      <x:c r="R11" s="89"/>
      <x:c r="S11" s="90"/>
      <x:c r="T11" s="90"/>
      <x:c r="V11" s="318">
        <x:f>(LOOKUP(J11,{"1A","1B","1C","2A","2B","2C","3A","3B","3C","4A","4B","4C"},{12,11,10,9,8,7,6,5,4,3,2,1})+LOOKUP(K11,{"1A","1B","1C","2A","2B","2C","3A","3B","3C","4A","4B","4C"},{12,11,10,9,8,7,6,5,4,3,2,1}))/2</x:f>
        <x:v>10</x:v>
      </x:c>
    </x:row>
    <x:row r="12" spans="1:22" s="8" customFormat="1" customHeight="1">
      <x:c r="A12" s="97">
        <x:v>8</x:v>
      </x:c>
      <x:c r="B12" s="56" t="s">
        <x:v>361</x:v>
      </x:c>
      <x:c r="C12" s="56" t="s">
        <x:v>381</x:v>
      </x:c>
      <x:c r="D12" s="56" t="s">
        <x:v>248</x:v>
      </x:c>
      <x:c r="E12" s="56"/>
      <x:c r="F12" s="56" t="s">
        <x:v>182</x:v>
      </x:c>
      <x:c r="G12" s="56"/>
      <x:c r="H12" s="56" t="s">
        <x:v>267</x:v>
      </x:c>
      <x:c r="I12" s="273" t="s">
        <x:v>320</x:v>
      </x:c>
      <x:c r="J12" s="34" t="s">
        <x:v>225</x:v>
      </x:c>
      <x:c r="K12" s="21" t="s">
        <x:v>225</x:v>
      </x:c>
      <x:c r="L12" s="345" t="s">
        <x:v>225</x:v>
      </x:c>
      <x:c r="M12" s="356" t="str">
        <x:f>LOOKUP(V12,{1,2,3,4,5,6,7,8,9,10,11,12},{"4C","4B","4A","3C","3B","3A","2C","2B","2A","1C","1B","1A"})</x:f>
        <x:v>1A</x:v>
      </x:c>
      <x:c r="N12" s="34" t="s">
        <x:v>225</x:v>
      </x:c>
      <x:c r="O12" s="21" t="s">
        <x:v>225</x:v>
      </x:c>
      <x:c r="P12" s="83" t="s">
        <x:v>225</x:v>
      </x:c>
      <x:c r="Q12" s="34"/>
      <x:c r="R12" s="21"/>
      <x:c r="S12" s="35"/>
      <x:c r="T12" s="35" t="s">
        <x:v>350</x:v>
      </x:c>
      <x:c r="V12" s="318">
        <x:f>(LOOKUP(J12,{"1A","1B","1C","2A","2B","2C","3A","3B","3C","4A","4B","4C"},{12,11,10,9,8,7,6,5,4,3,2,1})+LOOKUP(K12,{"1A","1B","1C","2A","2B","2C","3A","3B","3C","4A","4B","4C"},{12,11,10,9,8,7,6,5,4,3,2,1}))/2</x:f>
        <x:v>12</x:v>
      </x:c>
    </x:row>
    <x:row r="13" spans="1:22" s="14" customFormat="1" customHeight="1">
      <x:c r="A13" s="73">
        <x:v>9</x:v>
      </x:c>
      <x:c r="B13" s="15" t="s">
        <x:v>361</x:v>
      </x:c>
      <x:c r="C13" s="15" t="s">
        <x:v>285</x:v>
      </x:c>
      <x:c r="D13" s="16" t="s">
        <x:v>168</x:v>
      </x:c>
      <x:c r="E13" s="16"/>
      <x:c r="F13" s="16" t="s">
        <x:v>169</x:v>
      </x:c>
      <x:c r="G13" s="16"/>
      <x:c r="H13" s="16" t="s">
        <x:v>267</x:v>
      </x:c>
      <x:c r="I13" s="45" t="s">
        <x:v>327</x:v>
      </x:c>
      <x:c r="J13" s="31" t="s">
        <x:v>215</x:v>
      </x:c>
      <x:c r="K13" s="17" t="s">
        <x:v>225</x:v>
      </x:c>
      <x:c r="L13" s="345" t="s">
        <x:v>225</x:v>
      </x:c>
      <x:c r="M13" s="356" t="str">
        <x:f>LOOKUP(V13,{1,2,3,4,5,6,7,8,9,10,11,12},{"4C","4B","4A","3C","3B","3A","2C","2B","2A","1C","1B","1A"})</x:f>
        <x:v>1B</x:v>
      </x:c>
      <x:c r="N13" s="31" t="s">
        <x:v>215</x:v>
      </x:c>
      <x:c r="O13" s="17" t="s">
        <x:v>225</x:v>
      </x:c>
      <x:c r="P13" s="66" t="s">
        <x:v>225</x:v>
      </x:c>
      <x:c r="Q13" s="28" t="s">
        <x:v>225</x:v>
      </x:c>
      <x:c r="R13" s="17"/>
      <x:c r="S13" s="29"/>
      <x:c r="T13" s="42"/>
      <x:c r="V13" s="318">
        <x:f>(LOOKUP(J13,{"1A","1B","1C","2A","2B","2C","3A","3B","3C","4A","4B","4C"},{12,11,10,9,8,7,6,5,4,3,2,1})+LOOKUP(K13,{"1A","1B","1C","2A","2B","2C","3A","3B","3C","4A","4B","4C"},{12,11,10,9,8,7,6,5,4,3,2,1}))/2</x:f>
        <x:v>11</x:v>
      </x:c>
    </x:row>
    <x:row r="14" spans="1:22" s="14" customFormat="1" customHeight="1">
      <x:c r="A14" s="97">
        <x:v>10</x:v>
      </x:c>
      <x:c r="B14" s="15" t="s">
        <x:v>361</x:v>
      </x:c>
      <x:c r="C14" s="15" t="s">
        <x:v>285</x:v>
      </x:c>
      <x:c r="D14" s="15" t="s">
        <x:v>210</x:v>
      </x:c>
      <x:c r="E14" s="16"/>
      <x:c r="F14" s="16" t="s">
        <x:v>163</x:v>
      </x:c>
      <x:c r="G14" s="16"/>
      <x:c r="H14" s="15" t="s">
        <x:v>267</x:v>
      </x:c>
      <x:c r="I14" s="45" t="s">
        <x:v>327</x:v>
      </x:c>
      <x:c r="J14" s="28" t="s">
        <x:v>230</x:v>
      </x:c>
      <x:c r="K14" s="17" t="s">
        <x:v>188</x:v>
      </x:c>
      <x:c r="L14" s="345" t="s">
        <x:v>188</x:v>
      </x:c>
      <x:c r="M14" s="356" t="str">
        <x:f>LOOKUP(V14,{1,2,3,4,5,6,7,8,9,10,11,12},{"4C","4B","4A","3C","3B","3A","2C","2B","2A","1C","1B","1A"})</x:f>
        <x:v>3C</x:v>
      </x:c>
      <x:c r="N14" s="28" t="s">
        <x:v>230</x:v>
      </x:c>
      <x:c r="O14" s="364" t="s">
        <x:v>36</x:v>
      </x:c>
      <x:c r="P14" s="339" t="s">
        <x:v>36</x:v>
      </x:c>
      <x:c r="Q14" s="28"/>
      <x:c r="R14" s="17" t="s">
        <x:v>158</x:v>
      </x:c>
      <x:c r="S14" s="29"/>
      <x:c r="T14" s="42"/>
      <x:c r="V14" s="318">
        <x:f>(LOOKUP(J14,{"1A","1B","1C","2A","2B","2C","3A","3B","3C","4A","4B","4C"},{12,11,10,9,8,7,6,5,4,3,2,1})+LOOKUP(K14,{"1A","1B","1C","2A","2B","2C","3A","3B","3C","4A","4B","4C"},{12,11,10,9,8,7,6,5,4,3,2,1}))/2</x:f>
        <x:v>4</x:v>
      </x:c>
    </x:row>
    <x:row r="15" spans="1:22" s="14" customFormat="1" customHeight="1">
      <x:c r="A15" s="73">
        <x:v>11</x:v>
      </x:c>
      <x:c r="B15" s="15" t="s">
        <x:v>361</x:v>
      </x:c>
      <x:c r="C15" s="15" t="s">
        <x:v>381</x:v>
      </x:c>
      <x:c r="D15" s="15" t="s">
        <x:v>217</x:v>
      </x:c>
      <x:c r="E15" s="16"/>
      <x:c r="F15" s="16" t="s">
        <x:v>227</x:v>
      </x:c>
      <x:c r="G15" s="16"/>
      <x:c r="H15" s="15" t="s">
        <x:v>267</x:v>
      </x:c>
      <x:c r="I15" s="29" t="s">
        <x:v>339</x:v>
      </x:c>
      <x:c r="J15" s="28" t="s">
        <x:v>223</x:v>
      </x:c>
      <x:c r="K15" s="17" t="s">
        <x:v>225</x:v>
      </x:c>
      <x:c r="L15" s="346" t="s">
        <x:v>225</x:v>
      </x:c>
      <x:c r="M15" s="356" t="str">
        <x:f>LOOKUP(V15,{1,2,3,4,5,6,7,8,9,10,11,12},{"4C","4B","4A","3C","3B","3A","2C","2B","2A","1C","1B","1A"})</x:f>
        <x:v>1C</x:v>
      </x:c>
      <x:c r="N15" s="28" t="s">
        <x:v>223</x:v>
      </x:c>
      <x:c r="O15" s="17" t="s">
        <x:v>225</x:v>
      </x:c>
      <x:c r="P15" s="79" t="s">
        <x:v>225</x:v>
      </x:c>
      <x:c r="Q15" s="28" t="s">
        <x:v>158</x:v>
      </x:c>
      <x:c r="R15" s="17"/>
      <x:c r="S15" s="29"/>
      <x:c r="T15" s="42"/>
      <x:c r="V15" s="318">
        <x:f>(LOOKUP(J15,{"1A","1B","1C","2A","2B","2C","3A","3B","3C","4A","4B","4C"},{12,11,10,9,8,7,6,5,4,3,2,1})+LOOKUP(K15,{"1A","1B","1C","2A","2B","2C","3A","3B","3C","4A","4B","4C"},{12,11,10,9,8,7,6,5,4,3,2,1}))/2</x:f>
        <x:v>10</x:v>
      </x:c>
    </x:row>
    <x:row r="16" spans="1:22" s="14" customFormat="1" customHeight="1">
      <x:c r="A16" s="97">
        <x:v>12</x:v>
      </x:c>
      <x:c r="B16" s="15" t="s">
        <x:v>361</x:v>
      </x:c>
      <x:c r="C16" s="15" t="s">
        <x:v>285</x:v>
      </x:c>
      <x:c r="D16" s="15" t="s">
        <x:v>217</x:v>
      </x:c>
      <x:c r="E16" s="16"/>
      <x:c r="F16" s="16" t="s">
        <x:v>147</x:v>
      </x:c>
      <x:c r="G16" s="16"/>
      <x:c r="H16" s="15" t="s">
        <x:v>267</x:v>
      </x:c>
      <x:c r="I16" s="29" t="s">
        <x:v>327</x:v>
      </x:c>
      <x:c r="J16" s="28" t="s">
        <x:v>223</x:v>
      </x:c>
      <x:c r="K16" s="17" t="s">
        <x:v>191</x:v>
      </x:c>
      <x:c r="L16" s="345" t="s">
        <x:v>223</x:v>
      </x:c>
      <x:c r="M16" s="356" t="str">
        <x:f>LOOKUP(V16,{1,2,3,4,5,6,7,8,9,10,11,12},{"4C","4B","4A","3C","3B","3A","2C","2B","2A","1C","1B","1A"})</x:f>
        <x:v>3A</x:v>
      </x:c>
      <x:c r="N16" s="28" t="s">
        <x:v>223</x:v>
      </x:c>
      <x:c r="O16" s="17" t="s">
        <x:v>191</x:v>
      </x:c>
      <x:c r="P16" s="66" t="s">
        <x:v>223</x:v>
      </x:c>
      <x:c r="Q16" s="28" t="s">
        <x:v>162</x:v>
      </x:c>
      <x:c r="R16" s="17"/>
      <x:c r="S16" s="39"/>
      <x:c r="T16" s="42"/>
      <x:c r="V16" s="318">
        <x:f>(LOOKUP(J16,{"1A","1B","1C","2A","2B","2C","3A","3B","3C","4A","4B","4C"},{12,11,10,9,8,7,6,5,4,3,2,1})+LOOKUP(K16,{"1A","1B","1C","2A","2B","2C","3A","3B","3C","4A","4B","4C"},{12,11,10,9,8,7,6,5,4,3,2,1}))/2</x:f>
        <x:v>6</x:v>
      </x:c>
    </x:row>
    <x:row r="17" spans="1:22" s="12" customFormat="1" customHeight="1">
      <x:c r="A17" s="73">
        <x:v>13</x:v>
      </x:c>
      <x:c r="B17" s="15" t="s">
        <x:v>361</x:v>
      </x:c>
      <x:c r="C17" s="15" t="s">
        <x:v>285</x:v>
      </x:c>
      <x:c r="D17" s="15" t="s">
        <x:v>217</x:v>
      </x:c>
      <x:c r="E17" s="16"/>
      <x:c r="F17" s="16" t="s">
        <x:v>184</x:v>
      </x:c>
      <x:c r="G17" s="16"/>
      <x:c r="H17" s="15" t="s">
        <x:v>267</x:v>
      </x:c>
      <x:c r="I17" s="29" t="s">
        <x:v>327</x:v>
      </x:c>
      <x:c r="J17" s="28" t="s">
        <x:v>225</x:v>
      </x:c>
      <x:c r="K17" s="17" t="s">
        <x:v>175</x:v>
      </x:c>
      <x:c r="L17" s="345" t="s">
        <x:v>225</x:v>
      </x:c>
      <x:c r="M17" s="356" t="str">
        <x:f>LOOKUP(V17,{1,2,3,4,5,6,7,8,9,10,11,12},{"4C","4B","4A","3C","3B","3A","2C","2B","2A","1C","1B","1A"})</x:f>
        <x:v>2A</x:v>
      </x:c>
      <x:c r="N17" s="28" t="s">
        <x:v>225</x:v>
      </x:c>
      <x:c r="O17" s="17" t="s">
        <x:v>175</x:v>
      </x:c>
      <x:c r="P17" s="66" t="s">
        <x:v>225</x:v>
      </x:c>
      <x:c r="Q17" s="28"/>
      <x:c r="R17" s="17" t="s">
        <x:v>158</x:v>
      </x:c>
      <x:c r="S17" s="29"/>
      <x:c r="T17" s="50"/>
      <x:c r="V17" s="318">
        <x:f>(LOOKUP(J17,{"1A","1B","1C","2A","2B","2C","3A","3B","3C","4A","4B","4C"},{12,11,10,9,8,7,6,5,4,3,2,1})+LOOKUP(K17,{"1A","1B","1C","2A","2B","2C","3A","3B","3C","4A","4B","4C"},{12,11,10,9,8,7,6,5,4,3,2,1}))/2</x:f>
        <x:v>9.5</x:v>
      </x:c>
    </x:row>
    <x:row r="18" spans="1:22" s="14" customFormat="1" customHeight="1">
      <x:c r="A18" s="97">
        <x:v>14</x:v>
      </x:c>
      <x:c r="B18" s="15" t="s">
        <x:v>361</x:v>
      </x:c>
      <x:c r="C18" s="15" t="s">
        <x:v>381</x:v>
      </x:c>
      <x:c r="D18" s="15" t="s">
        <x:v>217</x:v>
      </x:c>
      <x:c r="E18" s="16"/>
      <x:c r="F18" s="16" t="s">
        <x:v>226</x:v>
      </x:c>
      <x:c r="G18" s="16"/>
      <x:c r="H18" s="15" t="s">
        <x:v>267</x:v>
      </x:c>
      <x:c r="I18" s="29" t="s">
        <x:v>325</x:v>
      </x:c>
      <x:c r="J18" s="28" t="s">
        <x:v>36</x:v>
      </x:c>
      <x:c r="K18" s="17" t="s">
        <x:v>225</x:v>
      </x:c>
      <x:c r="L18" s="345" t="s">
        <x:v>225</x:v>
      </x:c>
      <x:c r="M18" s="356" t="str">
        <x:f>LOOKUP(V18,{1,2,3,4,5,6,7,8,9,10,11,12},{"4C","4B","4A","3C","3B","3A","2C","2B","2A","1C","1B","1A"})</x:f>
        <x:v>2A</x:v>
      </x:c>
      <x:c r="N18" s="28" t="s">
        <x:v>36</x:v>
      </x:c>
      <x:c r="O18" s="17" t="s">
        <x:v>225</x:v>
      </x:c>
      <x:c r="P18" s="66" t="s">
        <x:v>225</x:v>
      </x:c>
      <x:c r="Q18" s="28" t="s">
        <x:v>162</x:v>
      </x:c>
      <x:c r="R18" s="17"/>
      <x:c r="S18" s="29"/>
      <x:c r="T18" s="42"/>
      <x:c r="V18" s="318">
        <x:f>(LOOKUP(J18,{"1A","1B","1C","2A","2B","2C","3A","3B","3C","4A","4B","4C"},{12,11,10,9,8,7,6,5,4,3,2,1})+LOOKUP(K18,{"1A","1B","1C","2A","2B","2C","3A","3B","3C","4A","4B","4C"},{12,11,10,9,8,7,6,5,4,3,2,1}))/2</x:f>
        <x:v>9</x:v>
      </x:c>
    </x:row>
    <x:row r="19" spans="1:22" s="14" customFormat="1" customHeight="1">
      <x:c r="A19" s="73">
        <x:v>15</x:v>
      </x:c>
      <x:c r="B19" s="15" t="s">
        <x:v>361</x:v>
      </x:c>
      <x:c r="C19" s="15" t="s">
        <x:v>381</x:v>
      </x:c>
      <x:c r="D19" s="16" t="s">
        <x:v>217</x:v>
      </x:c>
      <x:c r="E19" s="16"/>
      <x:c r="F19" s="16" t="s">
        <x:v>157</x:v>
      </x:c>
      <x:c r="G19" s="16"/>
      <x:c r="H19" s="15" t="s">
        <x:v>267</x:v>
      </x:c>
      <x:c r="I19" s="29" t="s">
        <x:v>325</x:v>
      </x:c>
      <x:c r="J19" s="28" t="s">
        <x:v>191</x:v>
      </x:c>
      <x:c r="K19" s="17" t="s">
        <x:v>175</x:v>
      </x:c>
      <x:c r="L19" s="345" t="s">
        <x:v>175</x:v>
      </x:c>
      <x:c r="M19" s="356" t="str">
        <x:f>LOOKUP(V19,{1,2,3,4,5,6,7,8,9,10,11,12},{"4C","4B","4A","3C","3B","3A","2C","2B","2A","1C","1B","1A"})</x:f>
        <x:v>3B</x:v>
      </x:c>
      <x:c r="N19" s="28" t="s">
        <x:v>191</x:v>
      </x:c>
      <x:c r="O19" s="17" t="s">
        <x:v>175</x:v>
      </x:c>
      <x:c r="P19" s="66" t="s">
        <x:v>175</x:v>
      </x:c>
      <x:c r="Q19" s="28" t="s">
        <x:v>188</x:v>
      </x:c>
      <x:c r="R19" s="17" t="s">
        <x:v>223</x:v>
      </x:c>
      <x:c r="S19" s="29"/>
      <x:c r="T19" s="42"/>
      <x:c r="V19" s="318">
        <x:f>(LOOKUP(J19,{"1A","1B","1C","2A","2B","2C","3A","3B","3C","4A","4B","4C"},{12,11,10,9,8,7,6,5,4,3,2,1})+LOOKUP(K19,{"1A","1B","1C","2A","2B","2C","3A","3B","3C","4A","4B","4C"},{12,11,10,9,8,7,6,5,4,3,2,1}))/2</x:f>
        <x:v>5.5</x:v>
      </x:c>
    </x:row>
    <x:row r="20" spans="1:22" s="14" customFormat="1" customHeight="1">
      <x:c r="A20" s="97">
        <x:v>16</x:v>
      </x:c>
      <x:c r="B20" s="15" t="s">
        <x:v>361</x:v>
      </x:c>
      <x:c r="C20" s="15" t="s">
        <x:v>285</x:v>
      </x:c>
      <x:c r="D20" s="15" t="s">
        <x:v>217</x:v>
      </x:c>
      <x:c r="E20" s="16"/>
      <x:c r="F20" s="16" t="s">
        <x:v>78</x:v>
      </x:c>
      <x:c r="G20" s="16"/>
      <x:c r="H20" s="15" t="s">
        <x:v>267</x:v>
      </x:c>
      <x:c r="I20" s="29" t="s">
        <x:v>327</x:v>
      </x:c>
      <x:c r="J20" s="28" t="s">
        <x:v>191</x:v>
      </x:c>
      <x:c r="K20" s="17" t="s">
        <x:v>201</x:v>
      </x:c>
      <x:c r="L20" s="345" t="s">
        <x:v>191</x:v>
      </x:c>
      <x:c r="M20" s="356" t="str">
        <x:f>LOOKUP(V20,{1,2,3,4,5,6,7,8,9,10,11,12},{"4C","4B","4A","3C","3B","3A","2C","2B","2A","1C","1B","1A"})</x:f>
        <x:v>4A</x:v>
      </x:c>
      <x:c r="N20" s="28" t="s">
        <x:v>191</x:v>
      </x:c>
      <x:c r="O20" s="17" t="s">
        <x:v>201</x:v>
      </x:c>
      <x:c r="P20" s="66" t="s">
        <x:v>191</x:v>
      </x:c>
      <x:c r="Q20" s="28" t="s">
        <x:v>36</x:v>
      </x:c>
      <x:c r="R20" s="17"/>
      <x:c r="S20" s="29"/>
      <x:c r="T20" s="42"/>
      <x:c r="V20" s="318">
        <x:f>(LOOKUP(J20,{"1A","1B","1C","2A","2B","2C","3A","3B","3C","4A","4B","4C"},{12,11,10,9,8,7,6,5,4,3,2,1})+LOOKUP(K20,{"1A","1B","1C","2A","2B","2C","3A","3B","3C","4A","4B","4C"},{12,11,10,9,8,7,6,5,4,3,2,1}))/2</x:f>
        <x:v>3</x:v>
      </x:c>
    </x:row>
    <x:row r="21" spans="1:22" s="8" customFormat="1" customHeight="1">
      <x:c r="A21" s="73">
        <x:v>17</x:v>
      </x:c>
      <x:c r="B21" s="86" t="s">
        <x:v>361</x:v>
      </x:c>
      <x:c r="C21" s="86" t="s">
        <x:v>381</x:v>
      </x:c>
      <x:c r="D21" s="86" t="s">
        <x:v>217</x:v>
      </x:c>
      <x:c r="E21" s="86"/>
      <x:c r="F21" s="86" t="s">
        <x:v>195</x:v>
      </x:c>
      <x:c r="G21" s="86"/>
      <x:c r="H21" s="86" t="s">
        <x:v>267</x:v>
      </x:c>
      <x:c r="I21" s="90" t="s">
        <x:v>325</x:v>
      </x:c>
      <x:c r="J21" s="88" t="s">
        <x:v>188</x:v>
      </x:c>
      <x:c r="K21" s="89" t="s">
        <x:v>225</x:v>
      </x:c>
      <x:c r="L21" s="345"/>
      <x:c r="M21" s="356" t="str">
        <x:f>LOOKUP(V21,{1,2,3,4,5,6,7,8,9,10,11,12},{"4C","4B","4A","3C","3B","3A","2C","2B","2A","1C","1B","1A"})</x:f>
        <x:v>2B</x:v>
      </x:c>
      <x:c r="N21" s="88" t="s">
        <x:v>188</x:v>
      </x:c>
      <x:c r="O21" s="89" t="s">
        <x:v>225</x:v>
      </x:c>
      <x:c r="P21" s="262" t="s">
        <x:v>225</x:v>
      </x:c>
      <x:c r="Q21" s="88" t="s">
        <x:v>36</x:v>
      </x:c>
      <x:c r="R21" s="89" t="s">
        <x:v>225</x:v>
      </x:c>
      <x:c r="S21" s="90"/>
      <x:c r="T21" s="223"/>
      <x:c r="V21" s="318">
        <x:f>(LOOKUP(J21,{"1A","1B","1C","2A","2B","2C","3A","3B","3C","4A","4B","4C"},{12,11,10,9,8,7,6,5,4,3,2,1})+LOOKUP(K21,{"1A","1B","1C","2A","2B","2C","3A","3B","3C","4A","4B","4C"},{12,11,10,9,8,7,6,5,4,3,2,1}))/2</x:f>
        <x:v>8.5</x:v>
      </x:c>
    </x:row>
    <x:row r="22" spans="1:22" s="12" customFormat="1" customHeight="1">
      <x:c r="A22" s="97">
        <x:v>18</x:v>
      </x:c>
      <x:c r="B22" s="56" t="s">
        <x:v>361</x:v>
      </x:c>
      <x:c r="C22" s="56" t="s">
        <x:v>381</x:v>
      </x:c>
      <x:c r="D22" s="56" t="s">
        <x:v>173</x:v>
      </x:c>
      <x:c r="E22" s="56"/>
      <x:c r="F22" s="56" t="s">
        <x:v>260</x:v>
      </x:c>
      <x:c r="G22" s="56"/>
      <x:c r="H22" s="56" t="s">
        <x:v>267</x:v>
      </x:c>
      <x:c r="I22" s="35" t="s">
        <x:v>339</x:v>
      </x:c>
      <x:c r="J22" s="34" t="s">
        <x:v>201</x:v>
      </x:c>
      <x:c r="K22" s="21" t="s">
        <x:v>225</x:v>
      </x:c>
      <x:c r="L22" s="345" t="s">
        <x:v>225</x:v>
      </x:c>
      <x:c r="M22" s="356" t="str">
        <x:f>LOOKUP(V22,{1,2,3,4,5,6,7,8,9,10,11,12},{"4C","4B","4A","3C","3B","3A","2C","2B","2A","1C","1B","1A"})</x:f>
        <x:v>2C</x:v>
      </x:c>
      <x:c r="N22" s="34" t="s">
        <x:v>201</x:v>
      </x:c>
      <x:c r="O22" s="21" t="s">
        <x:v>225</x:v>
      </x:c>
      <x:c r="P22" s="83" t="s">
        <x:v>225</x:v>
      </x:c>
      <x:c r="Q22" s="268" t="s">
        <x:v>230</x:v>
      </x:c>
      <x:c r="R22" s="21"/>
      <x:c r="S22" s="35"/>
      <x:c r="T22" s="80"/>
      <x:c r="V22" s="318">
        <x:f>(LOOKUP(J22,{"1A","1B","1C","2A","2B","2C","3A","3B","3C","4A","4B","4C"},{12,11,10,9,8,7,6,5,4,3,2,1})+LOOKUP(K22,{"1A","1B","1C","2A","2B","2C","3A","3B","3C","4A","4B","4C"},{12,11,10,9,8,7,6,5,4,3,2,1}))/2</x:f>
        <x:v>7</x:v>
      </x:c>
    </x:row>
    <x:row r="23" spans="1:22" s="14" customFormat="1" customHeight="1">
      <x:c r="A23" s="73">
        <x:v>19</x:v>
      </x:c>
      <x:c r="B23" s="15" t="s">
        <x:v>361</x:v>
      </x:c>
      <x:c r="C23" s="15" t="s">
        <x:v>285</x:v>
      </x:c>
      <x:c r="D23" s="15" t="s">
        <x:v>173</x:v>
      </x:c>
      <x:c r="E23" s="16"/>
      <x:c r="F23" s="16" t="s">
        <x:v>229</x:v>
      </x:c>
      <x:c r="G23" s="16"/>
      <x:c r="H23" s="15" t="s">
        <x:v>267</x:v>
      </x:c>
      <x:c r="I23" s="29" t="s">
        <x:v>327</x:v>
      </x:c>
      <x:c r="J23" s="28" t="s">
        <x:v>175</x:v>
      </x:c>
      <x:c r="K23" s="17" t="s">
        <x:v>230</x:v>
      </x:c>
      <x:c r="L23" s="345" t="s">
        <x:v>175</x:v>
      </x:c>
      <x:c r="M23" s="356" t="str">
        <x:f>LOOKUP(V23,{1,2,3,4,5,6,7,8,9,10,11,12},{"4C","4B","4A","3C","3B","3A","2C","2B","2A","1C","1B","1A"})</x:f>
        <x:v>3B</x:v>
      </x:c>
      <x:c r="N23" s="28" t="s">
        <x:v>175</x:v>
      </x:c>
      <x:c r="O23" s="17" t="s">
        <x:v>230</x:v>
      </x:c>
      <x:c r="P23" s="66" t="s">
        <x:v>175</x:v>
      </x:c>
      <x:c r="Q23" s="28" t="s">
        <x:v>158</x:v>
      </x:c>
      <x:c r="R23" s="17"/>
      <x:c r="S23" s="29"/>
      <x:c r="T23" s="42"/>
      <x:c r="V23" s="318">
        <x:f>(LOOKUP(J23,{"1A","1B","1C","2A","2B","2C","3A","3B","3C","4A","4B","4C"},{12,11,10,9,8,7,6,5,4,3,2,1})+LOOKUP(K23,{"1A","1B","1C","2A","2B","2C","3A","3B","3C","4A","4B","4C"},{12,11,10,9,8,7,6,5,4,3,2,1}))/2</x:f>
        <x:v>5</x:v>
      </x:c>
    </x:row>
    <x:row r="24" spans="1:22" s="14" customFormat="1" customHeight="1">
      <x:c r="A24" s="97">
        <x:v>20</x:v>
      </x:c>
      <x:c r="B24" s="15" t="s">
        <x:v>361</x:v>
      </x:c>
      <x:c r="C24" s="15" t="s">
        <x:v>285</x:v>
      </x:c>
      <x:c r="D24" s="15" t="s">
        <x:v>173</x:v>
      </x:c>
      <x:c r="E24" s="16"/>
      <x:c r="F24" s="16" t="s">
        <x:v>135</x:v>
      </x:c>
      <x:c r="G24" s="16"/>
      <x:c r="H24" s="15" t="s">
        <x:v>267</x:v>
      </x:c>
      <x:c r="I24" s="29" t="s">
        <x:v>327</x:v>
      </x:c>
      <x:c r="J24" s="28" t="s">
        <x:v>223</x:v>
      </x:c>
      <x:c r="K24" s="17" t="s">
        <x:v>230</x:v>
      </x:c>
      <x:c r="L24" s="345" t="s">
        <x:v>223</x:v>
      </x:c>
      <x:c r="M24" s="356" t="str">
        <x:f>LOOKUP(V24,{1,2,3,4,5,6,7,8,9,10,11,12},{"4C","4B","4A","3C","3B","3A","2C","2B","2A","1C","1B","1A"})</x:f>
        <x:v>3B</x:v>
      </x:c>
      <x:c r="N24" s="28" t="s">
        <x:v>223</x:v>
      </x:c>
      <x:c r="O24" s="17" t="s">
        <x:v>230</x:v>
      </x:c>
      <x:c r="P24" s="66" t="s">
        <x:v>223</x:v>
      </x:c>
      <x:c r="Q24" s="28"/>
      <x:c r="R24" s="17" t="s">
        <x:v>191</x:v>
      </x:c>
      <x:c r="S24" s="29"/>
      <x:c r="T24" s="42"/>
      <x:c r="V24" s="318">
        <x:f>(LOOKUP(J24,{"1A","1B","1C","2A","2B","2C","3A","3B","3C","4A","4B","4C"},{12,11,10,9,8,7,6,5,4,3,2,1})+LOOKUP(K24,{"1A","1B","1C","2A","2B","2C","3A","3B","3C","4A","4B","4C"},{12,11,10,9,8,7,6,5,4,3,2,1}))/2</x:f>
        <x:v>5.5</x:v>
      </x:c>
    </x:row>
    <x:row r="25" spans="1:22" s="37" customFormat="1" customHeight="1">
      <x:c r="A25" s="73">
        <x:v>21</x:v>
      </x:c>
      <x:c r="B25" s="15" t="s">
        <x:v>361</x:v>
      </x:c>
      <x:c r="C25" s="15" t="s">
        <x:v>381</x:v>
      </x:c>
      <x:c r="D25" s="15" t="s">
        <x:v>173</x:v>
      </x:c>
      <x:c r="E25" s="16"/>
      <x:c r="F25" s="16" t="s">
        <x:v>136</x:v>
      </x:c>
      <x:c r="G25" s="16"/>
      <x:c r="H25" s="15" t="s">
        <x:v>267</x:v>
      </x:c>
      <x:c r="I25" s="29" t="s">
        <x:v>339</x:v>
      </x:c>
      <x:c r="J25" s="28" t="s">
        <x:v>191</x:v>
      </x:c>
      <x:c r="K25" s="17" t="s">
        <x:v>191</x:v>
      </x:c>
      <x:c r="L25" s="345" t="s">
        <x:v>191</x:v>
      </x:c>
      <x:c r="M25" s="356" t="str">
        <x:f>LOOKUP(V25,{1,2,3,4,5,6,7,8,9,10,11,12},{"4C","4B","4A","3C","3B","3A","2C","2B","2A","1C","1B","1A"})</x:f>
        <x:v>3C</x:v>
      </x:c>
      <x:c r="N25" s="28" t="s">
        <x:v>191</x:v>
      </x:c>
      <x:c r="O25" s="17" t="s">
        <x:v>191</x:v>
      </x:c>
      <x:c r="P25" s="66" t="s">
        <x:v>191</x:v>
      </x:c>
      <x:c r="Q25" s="28"/>
      <x:c r="R25" s="17" t="s">
        <x:v>36</x:v>
      </x:c>
      <x:c r="S25" s="29"/>
      <x:c r="T25" s="42"/>
      <x:c r="V25" s="318">
        <x:f>(LOOKUP(J25,{"1A","1B","1C","2A","2B","2C","3A","3B","3C","4A","4B","4C"},{12,11,10,9,8,7,6,5,4,3,2,1})+LOOKUP(K25,{"1A","1B","1C","2A","2B","2C","3A","3B","3C","4A","4B","4C"},{12,11,10,9,8,7,6,5,4,3,2,1}))/2</x:f>
        <x:v>4</x:v>
      </x:c>
    </x:row>
    <x:row r="26" spans="1:22" s="14" customFormat="1" customHeight="1">
      <x:c r="A26" s="97">
        <x:v>22</x:v>
      </x:c>
      <x:c r="B26" s="15" t="s">
        <x:v>361</x:v>
      </x:c>
      <x:c r="C26" s="15" t="s">
        <x:v>285</x:v>
      </x:c>
      <x:c r="D26" s="15" t="s">
        <x:v>173</x:v>
      </x:c>
      <x:c r="E26" s="16"/>
      <x:c r="F26" s="16" t="s">
        <x:v>120</x:v>
      </x:c>
      <x:c r="G26" s="16"/>
      <x:c r="H26" s="15" t="s">
        <x:v>267</x:v>
      </x:c>
      <x:c r="I26" s="29" t="s">
        <x:v>327</x:v>
      </x:c>
      <x:c r="J26" s="28" t="s">
        <x:v>215</x:v>
      </x:c>
      <x:c r="K26" s="17" t="s">
        <x:v>238</x:v>
      </x:c>
      <x:c r="L26" s="345" t="s">
        <x:v>215</x:v>
      </x:c>
      <x:c r="M26" s="356" t="str">
        <x:f>LOOKUP(V26,{1,2,3,4,5,6,7,8,9,10,11,12},{"4C","4B","4A","3C","3B","3A","2C","2B","2A","1C","1B","1A"})</x:f>
        <x:v>3B</x:v>
      </x:c>
      <x:c r="N26" s="28" t="s">
        <x:v>215</x:v>
      </x:c>
      <x:c r="O26" s="17" t="s">
        <x:v>238</x:v>
      </x:c>
      <x:c r="P26" s="66" t="s">
        <x:v>215</x:v>
      </x:c>
      <x:c r="Q26" s="28" t="s">
        <x:v>225</x:v>
      </x:c>
      <x:c r="R26" s="17"/>
      <x:c r="S26" s="29"/>
      <x:c r="T26" s="42"/>
      <x:c r="V26" s="318">
        <x:f>(LOOKUP(J26,{"1A","1B","1C","2A","2B","2C","3A","3B","3C","4A","4B","4C"},{12,11,10,9,8,7,6,5,4,3,2,1})+LOOKUP(K26,{"1A","1B","1C","2A","2B","2C","3A","3B","3C","4A","4B","4C"},{12,11,10,9,8,7,6,5,4,3,2,1}))/2</x:f>
        <x:v>5.5</x:v>
      </x:c>
    </x:row>
    <x:row r="27" spans="1:22" s="14" customFormat="1" customHeight="1">
      <x:c r="A27" s="73">
        <x:v>23</x:v>
      </x:c>
      <x:c r="B27" s="15" t="s">
        <x:v>361</x:v>
      </x:c>
      <x:c r="C27" s="15" t="s">
        <x:v>381</x:v>
      </x:c>
      <x:c r="D27" s="15" t="s">
        <x:v>173</x:v>
      </x:c>
      <x:c r="E27" s="16"/>
      <x:c r="F27" s="16" t="s">
        <x:v>74</x:v>
      </x:c>
      <x:c r="G27" s="16"/>
      <x:c r="H27" s="15" t="s">
        <x:v>267</x:v>
      </x:c>
      <x:c r="I27" s="29" t="s">
        <x:v>325</x:v>
      </x:c>
      <x:c r="J27" s="28" t="s">
        <x:v>191</x:v>
      </x:c>
      <x:c r="K27" s="17" t="s">
        <x:v>230</x:v>
      </x:c>
      <x:c r="L27" s="345" t="s">
        <x:v>191</x:v>
      </x:c>
      <x:c r="M27" s="356" t="str">
        <x:f>LOOKUP(V27,{1,2,3,4,5,6,7,8,9,10,11,12},{"4C","4B","4A","3C","3B","3A","2C","2B","2A","1C","1B","1A"})</x:f>
        <x:v>4A</x:v>
      </x:c>
      <x:c r="N27" s="365" t="s">
        <x:v>188</x:v>
      </x:c>
      <x:c r="O27" s="17" t="s">
        <x:v>230</x:v>
      </x:c>
      <x:c r="P27" s="339" t="s">
        <x:v>188</x:v>
      </x:c>
      <x:c r="Q27" s="28" t="s">
        <x:v>36</x:v>
      </x:c>
      <x:c r="R27" s="17"/>
      <x:c r="S27" s="29"/>
      <x:c r="T27" s="42"/>
      <x:c r="V27" s="318">
        <x:f>(LOOKUP(J27,{"1A","1B","1C","2A","2B","2C","3A","3B","3C","4A","4B","4C"},{12,11,10,9,8,7,6,5,4,3,2,1})+LOOKUP(K27,{"1A","1B","1C","2A","2B","2C","3A","3B","3C","4A","4B","4C"},{12,11,10,9,8,7,6,5,4,3,2,1}))/2</x:f>
        <x:v>3.5</x:v>
      </x:c>
    </x:row>
    <x:row r="28" spans="1:22" s="14" customFormat="1" customHeight="1">
      <x:c r="A28" s="97">
        <x:v>24</x:v>
      </x:c>
      <x:c r="B28" s="15" t="s">
        <x:v>361</x:v>
      </x:c>
      <x:c r="C28" s="15" t="s">
        <x:v>285</x:v>
      </x:c>
      <x:c r="D28" s="15" t="s">
        <x:v>171</x:v>
      </x:c>
      <x:c r="E28" s="16"/>
      <x:c r="F28" s="16" t="s">
        <x:v>119</x:v>
      </x:c>
      <x:c r="G28" s="16"/>
      <x:c r="H28" s="15" t="s">
        <x:v>267</x:v>
      </x:c>
      <x:c r="I28" s="29" t="s">
        <x:v>327</x:v>
      </x:c>
      <x:c r="J28" s="28" t="s">
        <x:v>36</x:v>
      </x:c>
      <x:c r="K28" s="17" t="s">
        <x:v>238</x:v>
      </x:c>
      <x:c r="L28" s="345" t="s">
        <x:v>230</x:v>
      </x:c>
      <x:c r="M28" s="356" t="str">
        <x:f>LOOKUP(V28,{1,2,3,4,5,6,7,8,9,10,11,12},{"4C","4B","4A","3C","3B","3A","2C","2B","2A","1C","1B","1A"})</x:f>
        <x:v>4A</x:v>
      </x:c>
      <x:c r="N28" s="28" t="s">
        <x:v>230</x:v>
      </x:c>
      <x:c r="O28" s="17" t="s">
        <x:v>238</x:v>
      </x:c>
      <x:c r="P28" s="66" t="s">
        <x:v>230</x:v>
      </x:c>
      <x:c r="Q28" s="28" t="s">
        <x:v>36</x:v>
      </x:c>
      <x:c r="R28" s="17"/>
      <x:c r="S28" s="29"/>
      <x:c r="T28" s="42"/>
      <x:c r="V28" s="318">
        <x:f>(LOOKUP(J28,{"1A","1B","1C","2A","2B","2C","3A","3B","3C","4A","4B","4C"},{12,11,10,9,8,7,6,5,4,3,2,1})+LOOKUP(K28,{"1A","1B","1C","2A","2B","2C","3A","3B","3C","4A","4B","4C"},{12,11,10,9,8,7,6,5,4,3,2,1}))/2</x:f>
        <x:v>3.5</x:v>
      </x:c>
    </x:row>
    <x:row r="29" spans="1:22" s="14" customFormat="1" customHeight="1">
      <x:c r="A29" s="73">
        <x:v>25</x:v>
      </x:c>
      <x:c r="B29" s="15" t="s">
        <x:v>361</x:v>
      </x:c>
      <x:c r="C29" s="15" t="s">
        <x:v>381</x:v>
      </x:c>
      <x:c r="D29" s="15" t="s">
        <x:v>167</x:v>
      </x:c>
      <x:c r="E29" s="16"/>
      <x:c r="F29" s="16" t="s">
        <x:v>118</x:v>
      </x:c>
      <x:c r="G29" s="16"/>
      <x:c r="H29" s="15" t="s">
        <x:v>267</x:v>
      </x:c>
      <x:c r="I29" s="29" t="s">
        <x:v>325</x:v>
      </x:c>
      <x:c r="J29" s="28" t="s">
        <x:v>230</x:v>
      </x:c>
      <x:c r="K29" s="17" t="s">
        <x:v>191</x:v>
      </x:c>
      <x:c r="L29" s="345" t="s">
        <x:v>191</x:v>
      </x:c>
      <x:c r="M29" s="356" t="str">
        <x:f>LOOKUP(V29,{1,2,3,4,5,6,7,8,9,10,11,12},{"4C","4B","4A","3C","3B","3A","2C","2B","2A","1C","1B","1A"})</x:f>
        <x:v>4A</x:v>
      </x:c>
      <x:c r="N29" s="28" t="s">
        <x:v>230</x:v>
      </x:c>
      <x:c r="O29" s="17" t="s">
        <x:v>191</x:v>
      </x:c>
      <x:c r="P29" s="66" t="s">
        <x:v>191</x:v>
      </x:c>
      <x:c r="Q29" s="28"/>
      <x:c r="R29" s="17" t="s">
        <x:v>175</x:v>
      </x:c>
      <x:c r="S29" s="29"/>
      <x:c r="T29" s="42"/>
      <x:c r="V29" s="318">
        <x:f>(LOOKUP(J29,{"1A","1B","1C","2A","2B","2C","3A","3B","3C","4A","4B","4C"},{12,11,10,9,8,7,6,5,4,3,2,1})+LOOKUP(K29,{"1A","1B","1C","2A","2B","2C","3A","3B","3C","4A","4B","4C"},{12,11,10,9,8,7,6,5,4,3,2,1}))/2</x:f>
        <x:v>3.5</x:v>
      </x:c>
    </x:row>
    <x:row r="30" spans="1:22" s="37" customFormat="1" customHeight="1">
      <x:c r="A30" s="97">
        <x:v>26</x:v>
      </x:c>
      <x:c r="B30" s="54" t="s">
        <x:v>361</x:v>
      </x:c>
      <x:c r="C30" s="54" t="s">
        <x:v>347</x:v>
      </x:c>
      <x:c r="D30" s="54" t="s">
        <x:v>246</x:v>
      </x:c>
      <x:c r="E30" s="16"/>
      <x:c r="F30" s="61" t="s">
        <x:v>28</x:v>
      </x:c>
      <x:c r="G30" s="16"/>
      <x:c r="H30" s="54" t="s">
        <x:v>272</x:v>
      </x:c>
      <x:c r="I30" s="58" t="s">
        <x:v>347</x:v>
      </x:c>
      <x:c r="J30" s="92" t="s">
        <x:v>225</x:v>
      </x:c>
      <x:c r="K30" s="93" t="s">
        <x:v>225</x:v>
      </x:c>
      <x:c r="L30" s="344" t="s">
        <x:v>225</x:v>
      </x:c>
      <x:c r="M30" s="354" t="str">
        <x:f>LOOKUP(V30,{1,2,3,4,5,6,7,8,9,10,11,12},{"4C","4B","4A","3C","3B","3A","2C","2B","2A","1C","1B","1A"})</x:f>
        <x:v>1A</x:v>
      </x:c>
      <x:c r="N30" s="92" t="s">
        <x:v>225</x:v>
      </x:c>
      <x:c r="O30" s="93" t="s">
        <x:v>225</x:v>
      </x:c>
      <x:c r="P30" s="58" t="s">
        <x:v>225</x:v>
      </x:c>
      <x:c r="Q30" s="28"/>
      <x:c r="R30" s="17"/>
      <x:c r="S30" s="29"/>
      <x:c r="T30" s="40" t="s">
        <x:v>350</x:v>
      </x:c>
      <x:c r="V30" s="318">
        <x:f>(LOOKUP(J30,{"1A","1B","1C","2A","2B","2C","3A","3B","3C","4A","4B","4C"},{12,11,10,9,8,7,6,5,4,3,2,1})+LOOKUP(K30,{"1A","1B","1C","2A","2B","2C","3A","3B","3C","4A","4B","4C"},{12,11,10,9,8,7,6,5,4,3,2,1}))/2</x:f>
        <x:v>12</x:v>
      </x:c>
    </x:row>
    <x:row r="31" spans="1:22" s="37" customFormat="1" customHeight="1">
      <x:c r="A31" s="73">
        <x:v>27</x:v>
      </x:c>
      <x:c r="B31" s="112" t="s">
        <x:v>361</x:v>
      </x:c>
      <x:c r="C31" s="114" t="s">
        <x:v>371</x:v>
      </x:c>
      <x:c r="D31" s="114" t="s">
        <x:v>171</x:v>
      </x:c>
      <x:c r="E31" s="113"/>
      <x:c r="F31" s="247" t="s">
        <x:v>108</x:v>
      </x:c>
      <x:c r="G31" s="113"/>
      <x:c r="H31" s="114" t="s">
        <x:v>272</x:v>
      </x:c>
      <x:c r="I31" s="115" t="s">
        <x:v>319</x:v>
      </x:c>
      <x:c r="J31" s="28" t="s">
        <x:v>191</x:v>
      </x:c>
      <x:c r="K31" s="17" t="s">
        <x:v>238</x:v>
      </x:c>
      <x:c r="L31" s="345" t="s">
        <x:v>191</x:v>
      </x:c>
      <x:c r="M31" s="356" t="str">
        <x:f>LOOKUP(V31,{1,2,3,4,5,6,7,8,9,10,11,12},{"4C","4B","4A","3C","3B","3A","2C","2B","2A","1C","1B","1A"})</x:f>
        <x:v>4B</x:v>
      </x:c>
      <x:c r="N31" s="28" t="s">
        <x:v>191</x:v>
      </x:c>
      <x:c r="O31" s="17" t="s">
        <x:v>238</x:v>
      </x:c>
      <x:c r="P31" s="66" t="s">
        <x:v>191</x:v>
      </x:c>
      <x:c r="Q31" s="28" t="s">
        <x:v>188</x:v>
      </x:c>
      <x:c r="R31" s="17"/>
      <x:c r="S31" s="29"/>
      <x:c r="T31" s="42"/>
      <x:c r="V31" s="318">
        <x:f>(LOOKUP(J31,{"1A","1B","1C","2A","2B","2C","3A","3B","3C","4A","4B","4C"},{12,11,10,9,8,7,6,5,4,3,2,1})+LOOKUP(K31,{"1A","1B","1C","2A","2B","2C","3A","3B","3C","4A","4B","4C"},{12,11,10,9,8,7,6,5,4,3,2,1}))/2</x:f>
        <x:v>2.5</x:v>
      </x:c>
    </x:row>
    <x:row r="32" spans="1:22" s="14" customFormat="1" customHeight="1">
      <x:c r="A32" s="97">
        <x:v>28</x:v>
      </x:c>
      <x:c r="B32" s="141" t="s">
        <x:v>361</x:v>
      </x:c>
      <x:c r="C32" s="141" t="s">
        <x:v>285</x:v>
      </x:c>
      <x:c r="D32" s="141" t="s">
        <x:v>248</x:v>
      </x:c>
      <x:c r="E32" s="56"/>
      <x:c r="F32" s="141" t="s">
        <x:v>207</x:v>
      </x:c>
      <x:c r="G32" s="56"/>
      <x:c r="H32" s="141" t="s">
        <x:v>267</x:v>
      </x:c>
      <x:c r="I32" s="83" t="s">
        <x:v>310</x:v>
      </x:c>
      <x:c r="J32" s="34" t="s">
        <x:v>225</x:v>
      </x:c>
      <x:c r="K32" s="21" t="s">
        <x:v>225</x:v>
      </x:c>
      <x:c r="L32" s="345" t="s">
        <x:v>225</x:v>
      </x:c>
      <x:c r="M32" s="356" t="str">
        <x:f>LOOKUP(V32,{1,2,3,4,5,6,7,8,9,10,11,12},{"4C","4B","4A","3C","3B","3A","2C","2B","2A","1C","1B","1A"})</x:f>
        <x:v>1A</x:v>
      </x:c>
      <x:c r="N32" s="34" t="s">
        <x:v>225</x:v>
      </x:c>
      <x:c r="O32" s="21" t="s">
        <x:v>225</x:v>
      </x:c>
      <x:c r="P32" s="83" t="s">
        <x:v>225</x:v>
      </x:c>
      <x:c r="Q32" s="34"/>
      <x:c r="R32" s="21"/>
      <x:c r="S32" s="35"/>
      <x:c r="T32" s="35" t="s">
        <x:v>350</x:v>
      </x:c>
      <x:c r="V32" s="318">
        <x:f>(LOOKUP(J32,{"1A","1B","1C","2A","2B","2C","3A","3B","3C","4A","4B","4C"},{12,11,10,9,8,7,6,5,4,3,2,1})+LOOKUP(K32,{"1A","1B","1C","2A","2B","2C","3A","3B","3C","4A","4B","4C"},{12,11,10,9,8,7,6,5,4,3,2,1}))/2</x:f>
        <x:v>12</x:v>
      </x:c>
    </x:row>
    <x:row r="33" spans="1:22" s="14" customFormat="1" customHeight="1">
      <x:c r="A33" s="73">
        <x:v>29</x:v>
      </x:c>
      <x:c r="B33" s="141" t="s">
        <x:v>361</x:v>
      </x:c>
      <x:c r="C33" s="141" t="s">
        <x:v>381</x:v>
      </x:c>
      <x:c r="D33" s="141" t="s">
        <x:v>356</x:v>
      </x:c>
      <x:c r="E33" s="56"/>
      <x:c r="F33" s="141" t="s">
        <x:v>183</x:v>
      </x:c>
      <x:c r="G33" s="56"/>
      <x:c r="H33" s="141" t="s">
        <x:v>267</x:v>
      </x:c>
      <x:c r="I33" s="83" t="s">
        <x:v>313</x:v>
      </x:c>
      <x:c r="J33" s="34" t="s">
        <x:v>191</x:v>
      </x:c>
      <x:c r="K33" s="21" t="s">
        <x:v>191</x:v>
      </x:c>
      <x:c r="L33" s="345" t="s">
        <x:v>191</x:v>
      </x:c>
      <x:c r="M33" s="356" t="str">
        <x:f>LOOKUP(V33,{1,2,3,4,5,6,7,8,9,10,11,12},{"4C","4B","4A","3C","3B","3A","2C","2B","2A","1C","1B","1A"})</x:f>
        <x:v>3C</x:v>
      </x:c>
      <x:c r="N33" s="34" t="s">
        <x:v>191</x:v>
      </x:c>
      <x:c r="O33" s="21" t="s">
        <x:v>191</x:v>
      </x:c>
      <x:c r="P33" s="83" t="s">
        <x:v>191</x:v>
      </x:c>
      <x:c r="Q33" s="268" t="s">
        <x:v>36</x:v>
      </x:c>
      <x:c r="R33" s="21"/>
      <x:c r="S33" s="35"/>
      <x:c r="T33" s="80"/>
      <x:c r="V33" s="318">
        <x:f>(LOOKUP(J33,{"1A","1B","1C","2A","2B","2C","3A","3B","3C","4A","4B","4C"},{12,11,10,9,8,7,6,5,4,3,2,1})+LOOKUP(K33,{"1A","1B","1C","2A","2B","2C","3A","3B","3C","4A","4B","4C"},{12,11,10,9,8,7,6,5,4,3,2,1}))/2</x:f>
        <x:v>4</x:v>
      </x:c>
    </x:row>
    <x:row r="34" spans="1:22" s="8" customFormat="1" customHeight="1">
      <x:c r="A34" s="97">
        <x:v>30</x:v>
      </x:c>
      <x:c r="B34" s="86" t="s">
        <x:v>361</x:v>
      </x:c>
      <x:c r="C34" s="86" t="s">
        <x:v>285</x:v>
      </x:c>
      <x:c r="D34" s="86" t="s">
        <x:v>168</x:v>
      </x:c>
      <x:c r="E34" s="86"/>
      <x:c r="F34" s="86" t="s">
        <x:v>181</x:v>
      </x:c>
      <x:c r="G34" s="86"/>
      <x:c r="H34" s="86" t="s">
        <x:v>267</x:v>
      </x:c>
      <x:c r="I34" s="304" t="s">
        <x:v>327</x:v>
      </x:c>
      <x:c r="J34" s="88" t="s">
        <x:v>162</x:v>
      </x:c>
      <x:c r="K34" s="89" t="s">
        <x:v>225</x:v>
      </x:c>
      <x:c r="L34" s="345" t="s">
        <x:v>225</x:v>
      </x:c>
      <x:c r="M34" s="356" t="str">
        <x:f>LOOKUP(V34,{1,2,3,4,5,6,7,8,9,10,11,12},{"4C","4B","4A","3C","3B","3A","2C","2B","2A","1C","1B","1A"})</x:f>
        <x:v>1B</x:v>
      </x:c>
      <x:c r="N34" s="88" t="s">
        <x:v>162</x:v>
      </x:c>
      <x:c r="O34" s="89" t="s">
        <x:v>225</x:v>
      </x:c>
      <x:c r="P34" s="262" t="s">
        <x:v>225</x:v>
      </x:c>
      <x:c r="Q34" s="88" t="s">
        <x:v>225</x:v>
      </x:c>
      <x:c r="R34" s="89"/>
      <x:c r="S34" s="90"/>
      <x:c r="T34" s="223"/>
      <x:c r="V34" s="318">
        <x:f>(LOOKUP(J34,{"1A","1B","1C","2A","2B","2C","3A","3B","3C","4A","4B","4C"},{12,11,10,9,8,7,6,5,4,3,2,1})+LOOKUP(K34,{"1A","1B","1C","2A","2B","2C","3A","3B","3C","4A","4B","4C"},{12,11,10,9,8,7,6,5,4,3,2,1}))/2</x:f>
        <x:v>11.5</x:v>
      </x:c>
    </x:row>
    <x:row r="35" spans="1:22" s="14" customFormat="1" customHeight="1">
      <x:c r="A35" s="73">
        <x:v>31</x:v>
      </x:c>
      <x:c r="B35" s="113" t="s">
        <x:v>361</x:v>
      </x:c>
      <x:c r="C35" s="113" t="s">
        <x:v>285</x:v>
      </x:c>
      <x:c r="D35" s="113" t="s">
        <x:v>173</x:v>
      </x:c>
      <x:c r="E35" s="16"/>
      <x:c r="F35" s="113" t="s">
        <x:v>93</x:v>
      </x:c>
      <x:c r="G35" s="16"/>
      <x:c r="H35" s="113" t="s">
        <x:v>267</x:v>
      </x:c>
      <x:c r="I35" s="316" t="s">
        <x:v>310</x:v>
      </x:c>
      <x:c r="J35" s="28" t="s">
        <x:v>238</x:v>
      </x:c>
      <x:c r="K35" s="17" t="s">
        <x:v>223</x:v>
      </x:c>
      <x:c r="L35" s="345" t="s">
        <x:v>223</x:v>
      </x:c>
      <x:c r="M35" s="356" t="str">
        <x:f>LOOKUP(V35,{1,2,3,4,5,6,7,8,9,10,11,12},{"4C","4B","4A","3C","3B","3A","2C","2B","2A","1C","1B","1A"})</x:f>
        <x:v>3C</x:v>
      </x:c>
      <x:c r="N35" s="28" t="s">
        <x:v>238</x:v>
      </x:c>
      <x:c r="O35" s="17" t="s">
        <x:v>223</x:v>
      </x:c>
      <x:c r="P35" s="66" t="s">
        <x:v>223</x:v>
      </x:c>
      <x:c r="Q35" s="28" t="s">
        <x:v>230</x:v>
      </x:c>
      <x:c r="R35" s="17" t="s">
        <x:v>158</x:v>
      </x:c>
      <x:c r="S35" s="29"/>
      <x:c r="T35" s="42"/>
      <x:c r="V35" s="318">
        <x:f>(LOOKUP(J35,{"1A","1B","1C","2A","2B","2C","3A","3B","3C","4A","4B","4C"},{12,11,10,9,8,7,6,5,4,3,2,1})+LOOKUP(K35,{"1A","1B","1C","2A","2B","2C","3A","3B","3C","4A","4B","4C"},{12,11,10,9,8,7,6,5,4,3,2,1}))/2</x:f>
        <x:v>4.5</x:v>
      </x:c>
    </x:row>
    <x:row r="36" spans="1:22" s="14" customFormat="1" customHeight="1">
      <x:c r="A36" s="67">
        <x:v>32</x:v>
      </x:c>
      <x:c r="B36" s="129" t="s">
        <x:v>361</x:v>
      </x:c>
      <x:c r="C36" s="129" t="s">
        <x:v>381</x:v>
      </x:c>
      <x:c r="D36" s="129" t="s">
        <x:v>173</x:v>
      </x:c>
      <x:c r="E36" s="68"/>
      <x:c r="F36" s="129" t="s">
        <x:v>111</x:v>
      </x:c>
      <x:c r="G36" s="68"/>
      <x:c r="H36" s="129" t="s">
        <x:v>267</x:v>
      </x:c>
      <x:c r="I36" s="130" t="s">
        <x:v>313</x:v>
      </x:c>
      <x:c r="J36" s="67" t="s">
        <x:v>188</x:v>
      </x:c>
      <x:c r="K36" s="68" t="s">
        <x:v>238</x:v>
      </x:c>
      <x:c r="L36" s="355" t="s">
        <x:v>188</x:v>
      </x:c>
      <x:c r="M36" s="357" t="str">
        <x:f>LOOKUP(V36,{1,2,3,4,5,6,7,8,9,10,11,12},{"4C","4B","4A","3C","3B","3A","2C","2B","2A","1C","1B","1A"})</x:f>
        <x:v>4A</x:v>
      </x:c>
      <x:c r="N36" s="67" t="s">
        <x:v>188</x:v>
      </x:c>
      <x:c r="O36" s="68" t="s">
        <x:v>238</x:v>
      </x:c>
      <x:c r="P36" s="248" t="s">
        <x:v>188</x:v>
      </x:c>
      <x:c r="Q36" s="67"/>
      <x:c r="R36" s="68" t="s">
        <x:v>230</x:v>
      </x:c>
      <x:c r="S36" s="69"/>
      <x:c r="T36" s="203"/>
      <x:c r="V36" s="318">
        <x:f>(LOOKUP(J36,{"1A","1B","1C","2A","2B","2C","3A","3B","3C","4A","4B","4C"},{12,11,10,9,8,7,6,5,4,3,2,1})+LOOKUP(K36,{"1A","1B","1C","2A","2B","2C","3A","3B","3C","4A","4B","4C"},{12,11,10,9,8,7,6,5,4,3,2,1}))/2</x:f>
        <x:v>3</x:v>
      </x:c>
    </x:row>
    <x:row r="37" spans="13:22">
      <x:c r="M37" s="352"/>
      <x:c r="V37" s="314"/>
    </x:row>
  </x:sheetData>
  <x:autoFilter ref="A4:T37"/>
  <x:mergeCells count="14">
    <x:mergeCell ref="A1:T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M3"/>
    <x:mergeCell ref="N3:P3"/>
    <x:mergeCell ref="Q3:S3"/>
    <x:mergeCell ref="T3:T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 filterMode="1"/>
  <x:dimension ref="A1:V31"/>
  <x:sheetViews>
    <x:sheetView topLeftCell="A16" zoomScaleNormal="75" zoomScaleSheetLayoutView="100" workbookViewId="0">
      <x:pane xSplit="8" ySplit="0" topLeftCell="I16" activePane="topRight" state="frozen"/>
      <x:selection pane="topRight" activeCell="A32" activeCellId="0" sqref="A32:XFD44"/>
    </x:sheetView>
  </x:sheetViews>
  <x:sheetFormatPr defaultColWidth="8.88671875" defaultRowHeight="14.19999999999999928946"/>
  <x:cols>
    <x:col min="1" max="1" width="4.34765625" style="98" bestFit="1" customWidth="1"/>
    <x:col min="2" max="2" width="16.890625" style="20" customWidth="1"/>
    <x:col min="3" max="3" width="14.77734375" style="20" customWidth="1"/>
    <x:col min="4" max="4" width="7.6484375" style="20" bestFit="1" customWidth="1"/>
    <x:col min="5" max="5" width="0" style="20" hidden="1" customWidth="1"/>
    <x:col min="6" max="6" width="6.296875" style="20" bestFit="1" customWidth="1"/>
    <x:col min="7" max="7" width="8.890625" style="20" customWidth="1"/>
    <x:col min="8" max="8" width="6.296875" style="20" bestFit="1" customWidth="1"/>
    <x:col min="9" max="9" width="29.5859375" style="20" bestFit="1" customWidth="1"/>
    <x:col min="10" max="10" width="5.91796875" style="20" bestFit="1" customWidth="1"/>
    <x:col min="11" max="11" width="8.29296875" style="20" bestFit="1" customWidth="1"/>
    <x:col min="12" max="13" width="9.51953125" style="20" bestFit="1" customWidth="1"/>
    <x:col min="14" max="14" width="5.91796875" style="20" bestFit="1" customWidth="1"/>
    <x:col min="15" max="15" width="8.29296875" style="20" bestFit="1" customWidth="1"/>
    <x:col min="16" max="16" width="5.91796875" style="20" bestFit="1" customWidth="1"/>
    <x:col min="17" max="17" width="7.40625" style="41" bestFit="1" customWidth="1"/>
    <x:col min="18" max="18" width="8.29296875" style="41" bestFit="1" customWidth="1"/>
    <x:col min="19" max="19" width="7.40625" style="41" bestFit="1" customWidth="1"/>
    <x:col min="20" max="20" width="8.88671875" style="27"/>
    <x:col min="22" max="22" width="8.88671875" style="3" bestFit="1" customWidth="1"/>
    <x:col min="23" max="23" width="8.88671875" style="2" bestFit="1" customWidth="1"/>
  </x:cols>
  <x:sheetData>
    <x:row r="1" spans="1:20" ht="39.75" customHeight="1">
      <x:c r="A1" s="441" t="s">
        <x:v>338</x:v>
      </x:c>
      <x:c r="B1" s="441"/>
      <x:c r="C1" s="441"/>
      <x:c r="D1" s="441"/>
      <x:c r="E1" s="441"/>
      <x:c r="F1" s="441"/>
      <x:c r="G1" s="441"/>
      <x:c r="H1" s="441"/>
      <x:c r="I1" s="441"/>
      <x:c r="J1" s="441"/>
      <x:c r="K1" s="441"/>
      <x:c r="L1" s="441"/>
      <x:c r="M1" s="441"/>
      <x:c r="N1" s="441"/>
      <x:c r="O1" s="441"/>
      <x:c r="P1" s="441"/>
      <x:c r="Q1" s="441"/>
      <x:c r="R1" s="441"/>
      <x:c r="S1" s="441"/>
      <x:c r="T1" s="441"/>
    </x:row>
    <x:row r="2" spans="1:20" ht="39.75" customHeight="1">
      <x:c r="A2" s="441"/>
      <x:c r="B2" s="441"/>
      <x:c r="C2" s="441"/>
      <x:c r="D2" s="441"/>
      <x:c r="E2" s="441"/>
      <x:c r="F2" s="441"/>
      <x:c r="G2" s="441"/>
      <x:c r="H2" s="441"/>
      <x:c r="I2" s="441"/>
      <x:c r="J2" s="441"/>
      <x:c r="K2" s="441"/>
      <x:c r="L2" s="441"/>
      <x:c r="M2" s="441"/>
      <x:c r="N2" s="441"/>
      <x:c r="O2" s="441"/>
      <x:c r="P2" s="441"/>
      <x:c r="Q2" s="441"/>
      <x:c r="R2" s="441"/>
      <x:c r="S2" s="441"/>
      <x:c r="T2" s="441"/>
    </x:row>
    <x:row r="3" spans="1:20" s="13" customFormat="1" ht="20.25" customHeight="1">
      <x:c r="A3" s="448" t="s">
        <x:v>40</x:v>
      </x:c>
      <x:c r="B3" s="442" t="s">
        <x:v>235</x:v>
      </x:c>
      <x:c r="C3" s="442" t="s">
        <x:v>292</x:v>
      </x:c>
      <x:c r="D3" s="442" t="s">
        <x:v>257</x:v>
      </x:c>
      <x:c r="E3" s="442" t="s">
        <x:v>360</x:v>
      </x:c>
      <x:c r="F3" s="442" t="s">
        <x:v>186</x:v>
      </x:c>
      <x:c r="G3" s="442" t="s">
        <x:v>208</x:v>
      </x:c>
      <x:c r="H3" s="442" t="s">
        <x:v>351</x:v>
      </x:c>
      <x:c r="I3" s="463" t="s">
        <x:v>287</x:v>
      </x:c>
      <x:c r="J3" s="470" t="s">
        <x:v>334</x:v>
      </x:c>
      <x:c r="K3" s="471"/>
      <x:c r="L3" s="472"/>
      <x:c r="M3" s="473"/>
      <x:c r="N3" s="470" t="s">
        <x:v>332</x:v>
      </x:c>
      <x:c r="O3" s="471"/>
      <x:c r="P3" s="473"/>
      <x:c r="Q3" s="467" t="s">
        <x:v>328</x:v>
      </x:c>
      <x:c r="R3" s="468"/>
      <x:c r="S3" s="469"/>
      <x:c r="T3" s="474" t="s">
        <x:v>348</x:v>
      </x:c>
    </x:row>
    <x:row r="4" spans="1:22" s="13" customFormat="1" ht="13.94999999999999928946">
      <x:c r="A4" s="450"/>
      <x:c r="B4" s="444"/>
      <x:c r="C4" s="444"/>
      <x:c r="D4" s="444"/>
      <x:c r="E4" s="444"/>
      <x:c r="F4" s="444"/>
      <x:c r="G4" s="444"/>
      <x:c r="H4" s="444"/>
      <x:c r="I4" s="464"/>
      <x:c r="J4" s="119" t="s">
        <x:v>160</x:v>
      </x:c>
      <x:c r="K4" s="120" t="s">
        <x:v>381</x:v>
      </x:c>
      <x:c r="L4" s="342" t="s">
        <x:v>363</x:v>
      </x:c>
      <x:c r="M4" s="353" t="s">
        <x:v>354</x:v>
      </x:c>
      <x:c r="N4" s="119" t="s">
        <x:v>160</x:v>
      </x:c>
      <x:c r="O4" s="120" t="s">
        <x:v>381</x:v>
      </x:c>
      <x:c r="P4" s="121" t="s">
        <x:v>192</x:v>
      </x:c>
      <x:c r="Q4" s="74" t="s">
        <x:v>160</x:v>
      </x:c>
      <x:c r="R4" s="75" t="s">
        <x:v>381</x:v>
      </x:c>
      <x:c r="S4" s="76" t="s">
        <x:v>192</x:v>
      </x:c>
      <x:c r="T4" s="475"/>
      <x:c r="V4" s="317" t="s">
        <x:v>291</x:v>
      </x:c>
    </x:row>
    <x:row r="5" spans="1:22" s="14" customFormat="1" customHeight="1">
      <x:c r="A5" s="97">
        <x:v>1</x:v>
      </x:c>
      <x:c r="B5" s="59" t="s">
        <x:v>364</x:v>
      </x:c>
      <x:c r="C5" s="54" t="s">
        <x:v>275</x:v>
      </x:c>
      <x:c r="D5" s="54" t="s">
        <x:v>246</x:v>
      </x:c>
      <x:c r="E5" s="16"/>
      <x:c r="F5" s="54" t="s">
        <x:v>213</x:v>
      </x:c>
      <x:c r="G5" s="16"/>
      <x:c r="H5" s="54" t="s">
        <x:v>272</x:v>
      </x:c>
      <x:c r="I5" s="57" t="s">
        <x:v>337</x:v>
      </x:c>
      <x:c r="J5" s="92" t="s">
        <x:v>225</x:v>
      </x:c>
      <x:c r="K5" s="93" t="s">
        <x:v>225</x:v>
      </x:c>
      <x:c r="L5" s="344" t="s">
        <x:v>225</x:v>
      </x:c>
      <x:c r="M5" s="354" t="str">
        <x:f>LOOKUP(V5,{1,2,3,4,5,6,7,8,9,10,11,12},{"4C","4B","4A","3C","3B","3A","2C","2B","2A","1C","1B","1A"})</x:f>
        <x:v>1A</x:v>
      </x:c>
      <x:c r="N5" s="92" t="s">
        <x:v>225</x:v>
      </x:c>
      <x:c r="O5" s="93" t="s">
        <x:v>225</x:v>
      </x:c>
      <x:c r="P5" s="58" t="s">
        <x:v>225</x:v>
      </x:c>
      <x:c r="Q5" s="28"/>
      <x:c r="R5" s="17"/>
      <x:c r="S5" s="29"/>
      <x:c r="T5" s="40" t="s">
        <x:v>350</x:v>
      </x:c>
      <x:c r="V5" s="318">
        <x:f>(LOOKUP(J5,{"1A","1B","1C","2A","2B","2C","3A","3B","3C","4A","4B","4C"},{12,11,10,9,8,7,6,5,4,3,2,1})+LOOKUP(K5,{"1A","1B","1C","2A","2B","2C","3A","3B","3C","4A","4B","4C"},{12,11,10,9,8,7,6,5,4,3,2,1}))/2</x:f>
        <x:v>12</x:v>
      </x:c>
    </x:row>
    <x:row r="6" spans="1:22" s="14" customFormat="1" customHeight="1">
      <x:c r="A6" s="73">
        <x:v>2</x:v>
      </x:c>
      <x:c r="B6" s="109" t="s">
        <x:v>364</x:v>
      </x:c>
      <x:c r="C6" s="109" t="s">
        <x:v>252</x:v>
      </x:c>
      <x:c r="D6" s="109" t="s">
        <x:v>248</x:v>
      </x:c>
      <x:c r="E6" s="56"/>
      <x:c r="F6" s="109" t="s">
        <x:v>254</x:v>
      </x:c>
      <x:c r="G6" s="56"/>
      <x:c r="H6" s="109" t="s">
        <x:v>272</x:v>
      </x:c>
      <x:c r="I6" s="110" t="s">
        <x:v>320</x:v>
      </x:c>
      <x:c r="J6" s="204" t="s">
        <x:v>162</x:v>
      </x:c>
      <x:c r="K6" s="205" t="s">
        <x:v>225</x:v>
      </x:c>
      <x:c r="L6" s="344" t="s">
        <x:v>225</x:v>
      </x:c>
      <x:c r="M6" s="354" t="str">
        <x:f>LOOKUP(V6,{1,2,3,4,5,6,7,8,9,10,11,12},{"4C","4B","4A","3C","3B","3A","2C","2B","2A","1C","1B","1A"})</x:f>
        <x:v>1B</x:v>
      </x:c>
      <x:c r="N6" s="204" t="s">
        <x:v>162</x:v>
      </x:c>
      <x:c r="O6" s="205" t="s">
        <x:v>225</x:v>
      </x:c>
      <x:c r="P6" s="206" t="s">
        <x:v>225</x:v>
      </x:c>
      <x:c r="Q6" s="34"/>
      <x:c r="R6" s="21"/>
      <x:c r="S6" s="35"/>
      <x:c r="T6" s="80"/>
      <x:c r="V6" s="318">
        <x:f>(LOOKUP(J6,{"1A","1B","1C","2A","2B","2C","3A","3B","3C","4A","4B","4C"},{12,11,10,9,8,7,6,5,4,3,2,1})+LOOKUP(K6,{"1A","1B","1C","2A","2B","2C","3A","3B","3C","4A","4B","4C"},{12,11,10,9,8,7,6,5,4,3,2,1}))/2</x:f>
        <x:v>11.5</x:v>
      </x:c>
    </x:row>
    <x:row r="7" spans="1:22" s="14" customFormat="1" customHeight="1">
      <x:c r="A7" s="97">
        <x:v>3</x:v>
      </x:c>
      <x:c r="B7" s="54" t="s">
        <x:v>364</x:v>
      </x:c>
      <x:c r="C7" s="54" t="s">
        <x:v>275</x:v>
      </x:c>
      <x:c r="D7" s="54" t="s">
        <x:v>179</x:v>
      </x:c>
      <x:c r="E7" s="16"/>
      <x:c r="F7" s="54" t="s">
        <x:v>204</x:v>
      </x:c>
      <x:c r="G7" s="16"/>
      <x:c r="H7" s="54" t="s">
        <x:v>272</x:v>
      </x:c>
      <x:c r="I7" s="57" t="s">
        <x:v>344</x:v>
      </x:c>
      <x:c r="J7" s="92" t="s">
        <x:v>158</x:v>
      </x:c>
      <x:c r="K7" s="93" t="s">
        <x:v>225</x:v>
      </x:c>
      <x:c r="L7" s="344" t="s">
        <x:v>225</x:v>
      </x:c>
      <x:c r="M7" s="354" t="str">
        <x:f>LOOKUP(V7,{1,2,3,4,5,6,7,8,9,10,11,12},{"4C","4B","4A","3C","3B","3A","2C","2B","2A","1C","1B","1A"})</x:f>
        <x:v>1C</x:v>
      </x:c>
      <x:c r="N7" s="92" t="s">
        <x:v>158</x:v>
      </x:c>
      <x:c r="O7" s="93" t="s">
        <x:v>225</x:v>
      </x:c>
      <x:c r="P7" s="58" t="s">
        <x:v>225</x:v>
      </x:c>
      <x:c r="Q7" s="28"/>
      <x:c r="R7" s="17"/>
      <x:c r="S7" s="29"/>
      <x:c r="T7" s="42"/>
      <x:c r="V7" s="318">
        <x:f>(LOOKUP(J7,{"1A","1B","1C","2A","2B","2C","3A","3B","3C","4A","4B","4C"},{12,11,10,9,8,7,6,5,4,3,2,1})+LOOKUP(K7,{"1A","1B","1C","2A","2B","2C","3A","3B","3C","4A","4B","4C"},{12,11,10,9,8,7,6,5,4,3,2,1}))/2</x:f>
        <x:v>10.5</x:v>
      </x:c>
    </x:row>
    <x:row r="8" spans="1:22" s="14" customFormat="1" customHeight="1">
      <x:c r="A8" s="73">
        <x:v>4</x:v>
      </x:c>
      <x:c r="B8" s="54" t="s">
        <x:v>364</x:v>
      </x:c>
      <x:c r="C8" s="54" t="s">
        <x:v>275</x:v>
      </x:c>
      <x:c r="D8" s="54" t="s">
        <x:v>217</x:v>
      </x:c>
      <x:c r="E8" s="16"/>
      <x:c r="F8" s="54" t="s">
        <x:v>233</x:v>
      </x:c>
      <x:c r="G8" s="16"/>
      <x:c r="H8" s="54" t="s">
        <x:v>272</x:v>
      </x:c>
      <x:c r="I8" s="57" t="s">
        <x:v>366</x:v>
      </x:c>
      <x:c r="J8" s="92" t="s">
        <x:v>158</x:v>
      </x:c>
      <x:c r="K8" s="116" t="s">
        <x:v>162</x:v>
      </x:c>
      <x:c r="L8" s="360" t="s">
        <x:v>162</x:v>
      </x:c>
      <x:c r="M8" s="354" t="str">
        <x:f>LOOKUP(V8,{1,2,3,4,5,6,7,8,9,10,11,12},{"4C","4B","4A","3C","3B","3A","2C","2B","2A","1C","1B","1A"})</x:f>
        <x:v>1C</x:v>
      </x:c>
      <x:c r="N8" s="92" t="s">
        <x:v>158</x:v>
      </x:c>
      <x:c r="O8" s="116" t="s">
        <x:v>162</x:v>
      </x:c>
      <x:c r="P8" s="117" t="s">
        <x:v>162</x:v>
      </x:c>
      <x:c r="Q8" s="28"/>
      <x:c r="R8" s="17"/>
      <x:c r="S8" s="29"/>
      <x:c r="T8" s="42"/>
      <x:c r="V8" s="318">
        <x:f>(LOOKUP(J8,{"1A","1B","1C","2A","2B","2C","3A","3B","3C","4A","4B","4C"},{12,11,10,9,8,7,6,5,4,3,2,1})+LOOKUP(K8,{"1A","1B","1C","2A","2B","2C","3A","3B","3C","4A","4B","4C"},{12,11,10,9,8,7,6,5,4,3,2,1}))/2</x:f>
        <x:v>10</x:v>
      </x:c>
    </x:row>
    <x:row r="9" spans="1:22" s="14" customFormat="1" customHeight="1">
      <x:c r="A9" s="97">
        <x:v>5</x:v>
      </x:c>
      <x:c r="B9" s="54" t="s">
        <x:v>364</x:v>
      </x:c>
      <x:c r="C9" s="54" t="s">
        <x:v>252</x:v>
      </x:c>
      <x:c r="D9" s="54" t="s">
        <x:v>173</x:v>
      </x:c>
      <x:c r="E9" s="16"/>
      <x:c r="F9" s="54" t="s">
        <x:v>247</x:v>
      </x:c>
      <x:c r="G9" s="16"/>
      <x:c r="H9" s="54" t="s">
        <x:v>272</x:v>
      </x:c>
      <x:c r="I9" s="57" t="s">
        <x:v>380</x:v>
      </x:c>
      <x:c r="J9" s="52"/>
      <x:c r="K9" s="17"/>
      <x:c r="L9" s="361"/>
      <x:c r="M9" s="354"/>
      <x:c r="N9" s="52"/>
      <x:c r="O9" s="17"/>
      <x:c r="P9" s="53"/>
      <x:c r="Q9" s="28"/>
      <x:c r="R9" s="17"/>
      <x:c r="S9" s="29"/>
      <x:c r="T9" s="42"/>
      <x:c r="V9" s="318" t="e">
        <x:f>(LOOKUP(J9,{"1A","1B","1C","2A","2B","2C","3A","3B","3C","4A","4B","4C"},{12,11,10,9,8,7,6,5,4,3,2,1})+LOOKUP(K9,{"1A","1B","1C","2A","2B","2C","3A","3B","3C","4A","4B","4C"},{12,11,10,9,8,7,6,5,4,3,2,1}))/2</x:f>
        <x:v>#N/A</x:v>
      </x:c>
    </x:row>
    <x:row r="10" spans="1:22" s="14" customFormat="1" customHeight="1">
      <x:c r="A10" s="73">
        <x:v>6</x:v>
      </x:c>
      <x:c r="B10" s="54" t="s">
        <x:v>364</x:v>
      </x:c>
      <x:c r="C10" s="54" t="s">
        <x:v>275</x:v>
      </x:c>
      <x:c r="D10" s="54" t="s">
        <x:v>171</x:v>
      </x:c>
      <x:c r="E10" s="16"/>
      <x:c r="F10" s="54" t="s">
        <x:v>49</x:v>
      </x:c>
      <x:c r="G10" s="16"/>
      <x:c r="H10" s="54" t="s">
        <x:v>272</x:v>
      </x:c>
      <x:c r="I10" s="57" t="s">
        <x:v>340</x:v>
      </x:c>
      <x:c r="J10" s="92" t="s">
        <x:v>238</x:v>
      </x:c>
      <x:c r="K10" s="93" t="s">
        <x:v>188</x:v>
      </x:c>
      <x:c r="L10" s="344" t="s">
        <x:v>188</x:v>
      </x:c>
      <x:c r="M10" s="354" t="str">
        <x:f>LOOKUP(V10,{1,2,3,4,5,6,7,8,9,10,11,12},{"4C","4B","4A","3C","3B","3A","2C","2B","2A","1C","1B","1A"})</x:f>
        <x:v>4A</x:v>
      </x:c>
      <x:c r="N10" s="92" t="s">
        <x:v>238</x:v>
      </x:c>
      <x:c r="O10" s="93" t="s">
        <x:v>188</x:v>
      </x:c>
      <x:c r="P10" s="58" t="s">
        <x:v>188</x:v>
      </x:c>
      <x:c r="Q10" s="28"/>
      <x:c r="R10" s="17"/>
      <x:c r="S10" s="29"/>
      <x:c r="T10" s="42"/>
      <x:c r="V10" s="318">
        <x:f>(LOOKUP(J10,{"1A","1B","1C","2A","2B","2C","3A","3B","3C","4A","4B","4C"},{12,11,10,9,8,7,6,5,4,3,2,1})+LOOKUP(K10,{"1A","1B","1C","2A","2B","2C","3A","3B","3C","4A","4B","4C"},{12,11,10,9,8,7,6,5,4,3,2,1}))/2</x:f>
        <x:v>3</x:v>
      </x:c>
    </x:row>
    <x:row r="11" spans="1:22" s="8" customFormat="1" customHeight="1">
      <x:c r="A11" s="97">
        <x:v>7</x:v>
      </x:c>
      <x:c r="B11" s="311" t="s">
        <x:v>364</x:v>
      </x:c>
      <x:c r="C11" s="311" t="s">
        <x:v>275</x:v>
      </x:c>
      <x:c r="D11" s="311" t="s">
        <x:v>248</x:v>
      </x:c>
      <x:c r="E11" s="311"/>
      <x:c r="F11" s="311" t="s">
        <x:v>207</x:v>
      </x:c>
      <x:c r="G11" s="311"/>
      <x:c r="H11" s="311" t="s">
        <x:v>267</x:v>
      </x:c>
      <x:c r="I11" s="269"/>
      <x:c r="J11" s="88" t="s">
        <x:v>225</x:v>
      </x:c>
      <x:c r="K11" s="89" t="s">
        <x:v>225</x:v>
      </x:c>
      <x:c r="L11" s="341" t="s">
        <x:v>225</x:v>
      </x:c>
      <x:c r="M11" s="354" t="str">
        <x:f>LOOKUP(V11,{1,2,3,4,5,6,7,8,9,10,11,12},{"4C","4B","4A","3C","3B","3A","2C","2B","2A","1C","1B","1A"})</x:f>
        <x:v>1A</x:v>
      </x:c>
      <x:c r="N11" s="88" t="s">
        <x:v>225</x:v>
      </x:c>
      <x:c r="O11" s="89" t="s">
        <x:v>225</x:v>
      </x:c>
      <x:c r="P11" s="90" t="s">
        <x:v>225</x:v>
      </x:c>
      <x:c r="Q11" s="88"/>
      <x:c r="R11" s="89"/>
      <x:c r="S11" s="90"/>
      <x:c r="T11" s="223"/>
      <x:c r="V11" s="318">
        <x:f>(LOOKUP(J11,{"1A","1B","1C","2A","2B","2C","3A","3B","3C","4A","4B","4C"},{12,11,10,9,8,7,6,5,4,3,2,1})+LOOKUP(K11,{"1A","1B","1C","2A","2B","2C","3A","3B","3C","4A","4B","4C"},{12,11,10,9,8,7,6,5,4,3,2,1}))/2</x:f>
        <x:v>12</x:v>
      </x:c>
    </x:row>
    <x:row r="12" spans="1:22" s="14" customFormat="1" customHeight="1">
      <x:c r="A12" s="73">
        <x:v>8</x:v>
      </x:c>
      <x:c r="B12" s="56" t="s">
        <x:v>364</x:v>
      </x:c>
      <x:c r="C12" s="56" t="s">
        <x:v>285</x:v>
      </x:c>
      <x:c r="D12" s="56" t="s">
        <x:v>168</x:v>
      </x:c>
      <x:c r="E12" s="56"/>
      <x:c r="F12" s="56" t="s">
        <x:v>172</x:v>
      </x:c>
      <x:c r="G12" s="56"/>
      <x:c r="H12" s="56" t="s">
        <x:v>267</x:v>
      </x:c>
      <x:c r="I12" s="273" t="s">
        <x:v>327</x:v>
      </x:c>
      <x:c r="J12" s="34" t="s">
        <x:v>225</x:v>
      </x:c>
      <x:c r="K12" s="21" t="s">
        <x:v>225</x:v>
      </x:c>
      <x:c r="L12" s="345" t="s">
        <x:v>225</x:v>
      </x:c>
      <x:c r="M12" s="356" t="str">
        <x:f>LOOKUP(V12,{1,2,3,4,5,6,7,8,9,10,11,12},{"4C","4B","4A","3C","3B","3A","2C","2B","2A","1C","1B","1A"})</x:f>
        <x:v>1A</x:v>
      </x:c>
      <x:c r="N12" s="34" t="s">
        <x:v>225</x:v>
      </x:c>
      <x:c r="O12" s="21" t="s">
        <x:v>225</x:v>
      </x:c>
      <x:c r="P12" s="83" t="s">
        <x:v>225</x:v>
      </x:c>
      <x:c r="Q12" s="34"/>
      <x:c r="R12" s="21"/>
      <x:c r="S12" s="35"/>
      <x:c r="T12" s="80"/>
      <x:c r="V12" s="318">
        <x:f>(LOOKUP(J12,{"1A","1B","1C","2A","2B","2C","3A","3B","3C","4A","4B","4C"},{12,11,10,9,8,7,6,5,4,3,2,1})+LOOKUP(K12,{"1A","1B","1C","2A","2B","2C","3A","3B","3C","4A","4B","4C"},{12,11,10,9,8,7,6,5,4,3,2,1}))/2</x:f>
        <x:v>12</x:v>
      </x:c>
    </x:row>
    <x:row r="13" spans="1:22" s="37" customFormat="1" customHeight="1">
      <x:c r="A13" s="97">
        <x:v>9</x:v>
      </x:c>
      <x:c r="B13" s="86" t="s">
        <x:v>364</x:v>
      </x:c>
      <x:c r="C13" s="86" t="s">
        <x:v>349</x:v>
      </x:c>
      <x:c r="D13" s="86" t="s">
        <x:v>248</x:v>
      </x:c>
      <x:c r="E13" s="86"/>
      <x:c r="F13" s="86" t="s">
        <x:v>88</x:v>
      </x:c>
      <x:c r="G13" s="86"/>
      <x:c r="H13" s="86" t="s">
        <x:v>267</x:v>
      </x:c>
      <x:c r="I13" s="304" t="s">
        <x:v>325</x:v>
      </x:c>
      <x:c r="J13" s="88" t="s">
        <x:v>225</x:v>
      </x:c>
      <x:c r="K13" s="89" t="s">
        <x:v>225</x:v>
      </x:c>
      <x:c r="L13" s="341" t="s">
        <x:v>225</x:v>
      </x:c>
      <x:c r="M13" s="356" t="str">
        <x:f>LOOKUP(V13,{1,2,3,4,5,6,7,8,9,10,11,12},{"4C","4B","4A","3C","3B","3A","2C","2B","2A","1C","1B","1A"})</x:f>
        <x:v>1A</x:v>
      </x:c>
      <x:c r="N13" s="88" t="s">
        <x:v>225</x:v>
      </x:c>
      <x:c r="O13" s="89" t="s">
        <x:v>225</x:v>
      </x:c>
      <x:c r="P13" s="90" t="s">
        <x:v>225</x:v>
      </x:c>
      <x:c r="Q13" s="88"/>
      <x:c r="R13" s="89"/>
      <x:c r="S13" s="90"/>
      <x:c r="T13" s="223"/>
      <x:c r="V13" s="318">
        <x:f>(LOOKUP(J13,{"1A","1B","1C","2A","2B","2C","3A","3B","3C","4A","4B","4C"},{12,11,10,9,8,7,6,5,4,3,2,1})+LOOKUP(K13,{"1A","1B","1C","2A","2B","2C","3A","3B","3C","4A","4B","4C"},{12,11,10,9,8,7,6,5,4,3,2,1}))/2</x:f>
        <x:v>12</x:v>
      </x:c>
    </x:row>
    <x:row r="14" spans="1:22" s="14" customFormat="1" customHeight="1">
      <x:c r="A14" s="73">
        <x:v>10</x:v>
      </x:c>
      <x:c r="B14" s="15" t="s">
        <x:v>364</x:v>
      </x:c>
      <x:c r="C14" s="15" t="s">
        <x:v>285</x:v>
      </x:c>
      <x:c r="D14" s="15" t="s">
        <x:v>168</x:v>
      </x:c>
      <x:c r="E14" s="15"/>
      <x:c r="F14" s="16" t="s">
        <x:v>58</x:v>
      </x:c>
      <x:c r="G14" s="15"/>
      <x:c r="H14" s="15" t="s">
        <x:v>267</x:v>
      </x:c>
      <x:c r="I14" s="45" t="s">
        <x:v>339</x:v>
      </x:c>
      <x:c r="J14" s="28" t="s">
        <x:v>225</x:v>
      </x:c>
      <x:c r="K14" s="17" t="s">
        <x:v>191</x:v>
      </x:c>
      <x:c r="L14" s="345" t="s">
        <x:v>225</x:v>
      </x:c>
      <x:c r="M14" s="356" t="str">
        <x:f>LOOKUP(V14,{1,2,3,4,5,6,7,8,9,10,11,12},{"4C","4B","4A","3C","3B","3A","2C","2B","2A","1C","1B","1A"})</x:f>
        <x:v>2B</x:v>
      </x:c>
      <x:c r="N14" s="28" t="s">
        <x:v>225</x:v>
      </x:c>
      <x:c r="O14" s="17" t="s">
        <x:v>191</x:v>
      </x:c>
      <x:c r="P14" s="66" t="s">
        <x:v>225</x:v>
      </x:c>
      <x:c r="Q14" s="28"/>
      <x:c r="R14" s="17" t="s">
        <x:v>36</x:v>
      </x:c>
      <x:c r="S14" s="29"/>
      <x:c r="T14" s="42"/>
      <x:c r="V14" s="318">
        <x:f>(LOOKUP(J14,{"1A","1B","1C","2A","2B","2C","3A","3B","3C","4A","4B","4C"},{12,11,10,9,8,7,6,5,4,3,2,1})+LOOKUP(K14,{"1A","1B","1C","2A","2B","2C","3A","3B","3C","4A","4B","4C"},{12,11,10,9,8,7,6,5,4,3,2,1}))/2</x:f>
        <x:v>8</x:v>
      </x:c>
    </x:row>
    <x:row r="15" spans="1:22" s="14" customFormat="1" customHeight="1">
      <x:c r="A15" s="97">
        <x:v>11</x:v>
      </x:c>
      <x:c r="B15" s="15" t="s">
        <x:v>364</x:v>
      </x:c>
      <x:c r="C15" s="15" t="s">
        <x:v>349</x:v>
      </x:c>
      <x:c r="D15" s="16" t="s">
        <x:v>273</x:v>
      </x:c>
      <x:c r="E15" s="15"/>
      <x:c r="F15" s="16" t="s">
        <x:v>64</x:v>
      </x:c>
      <x:c r="G15" s="15"/>
      <x:c r="H15" s="16" t="s">
        <x:v>267</x:v>
      </x:c>
      <x:c r="I15" s="45" t="s">
        <x:v>325</x:v>
      </x:c>
      <x:c r="J15" s="28" t="s">
        <x:v>225</x:v>
      </x:c>
      <x:c r="K15" s="17" t="s">
        <x:v>201</x:v>
      </x:c>
      <x:c r="L15" s="345" t="s">
        <x:v>225</x:v>
      </x:c>
      <x:c r="M15" s="356" t="str">
        <x:f>LOOKUP(V15,{1,2,3,4,5,6,7,8,9,10,11,12},{"4C","4B","4A","3C","3B","3A","2C","2B","2A","1C","1B","1A"})</x:f>
        <x:v>2C</x:v>
      </x:c>
      <x:c r="N15" s="28" t="s">
        <x:v>225</x:v>
      </x:c>
      <x:c r="O15" s="17" t="s">
        <x:v>201</x:v>
      </x:c>
      <x:c r="P15" s="66" t="s">
        <x:v>225</x:v>
      </x:c>
      <x:c r="Q15" s="28"/>
      <x:c r="R15" s="17" t="s">
        <x:v>230</x:v>
      </x:c>
      <x:c r="S15" s="29"/>
      <x:c r="T15" s="42"/>
      <x:c r="V15" s="318">
        <x:f>(LOOKUP(J15,{"1A","1B","1C","2A","2B","2C","3A","3B","3C","4A","4B","4C"},{12,11,10,9,8,7,6,5,4,3,2,1})+LOOKUP(K15,{"1A","1B","1C","2A","2B","2C","3A","3B","3C","4A","4B","4C"},{12,11,10,9,8,7,6,5,4,3,2,1}))/2</x:f>
        <x:v>7</x:v>
      </x:c>
    </x:row>
    <x:row r="16" spans="1:22" s="14" customFormat="1" customHeight="1">
      <x:c r="A16" s="73">
        <x:v>12</x:v>
      </x:c>
      <x:c r="B16" s="15" t="s">
        <x:v>364</x:v>
      </x:c>
      <x:c r="C16" s="15" t="s">
        <x:v>285</x:v>
      </x:c>
      <x:c r="D16" s="15" t="s">
        <x:v>210</x:v>
      </x:c>
      <x:c r="E16" s="15"/>
      <x:c r="F16" s="16" t="s">
        <x:v>33</x:v>
      </x:c>
      <x:c r="G16" s="15"/>
      <x:c r="H16" s="15" t="s">
        <x:v>267</x:v>
      </x:c>
      <x:c r="I16" s="45" t="s">
        <x:v>327</x:v>
      </x:c>
      <x:c r="J16" s="31" t="s">
        <x:v>191</x:v>
      </x:c>
      <x:c r="K16" s="17" t="s">
        <x:v>238</x:v>
      </x:c>
      <x:c r="L16" s="345" t="s">
        <x:v>191</x:v>
      </x:c>
      <x:c r="M16" s="356" t="str">
        <x:f>LOOKUP(V16,{1,2,3,4,5,6,7,8,9,10,11,12},{"4C","4B","4A","3C","3B","3A","2C","2B","2A","1C","1B","1A"})</x:f>
        <x:v>4B</x:v>
      </x:c>
      <x:c r="N16" s="31" t="s">
        <x:v>191</x:v>
      </x:c>
      <x:c r="O16" s="17" t="s">
        <x:v>238</x:v>
      </x:c>
      <x:c r="P16" s="66" t="s">
        <x:v>191</x:v>
      </x:c>
      <x:c r="Q16" s="28" t="s">
        <x:v>36</x:v>
      </x:c>
      <x:c r="R16" s="17"/>
      <x:c r="S16" s="29"/>
      <x:c r="T16" s="42"/>
      <x:c r="V16" s="318">
        <x:f>(LOOKUP(J16,{"1A","1B","1C","2A","2B","2C","3A","3B","3C","4A","4B","4C"},{12,11,10,9,8,7,6,5,4,3,2,1})+LOOKUP(K16,{"1A","1B","1C","2A","2B","2C","3A","3B","3C","4A","4B","4C"},{12,11,10,9,8,7,6,5,4,3,2,1}))/2</x:f>
        <x:v>2.5</x:v>
      </x:c>
    </x:row>
    <x:row r="17" spans="1:22" s="14" customFormat="1" customHeight="1">
      <x:c r="A17" s="97">
        <x:v>13</x:v>
      </x:c>
      <x:c r="B17" s="15" t="s">
        <x:v>364</x:v>
      </x:c>
      <x:c r="C17" s="15" t="s">
        <x:v>349</x:v>
      </x:c>
      <x:c r="D17" s="15" t="s">
        <x:v>210</x:v>
      </x:c>
      <x:c r="E17" s="15"/>
      <x:c r="F17" s="16" t="s">
        <x:v>80</x:v>
      </x:c>
      <x:c r="G17" s="15"/>
      <x:c r="H17" s="15" t="s">
        <x:v>267</x:v>
      </x:c>
      <x:c r="I17" s="45" t="s">
        <x:v>325</x:v>
      </x:c>
      <x:c r="J17" s="28" t="s">
        <x:v>238</x:v>
      </x:c>
      <x:c r="K17" s="17" t="s">
        <x:v>230</x:v>
      </x:c>
      <x:c r="L17" s="345" t="s">
        <x:v>230</x:v>
      </x:c>
      <x:c r="M17" s="356" t="str">
        <x:f>LOOKUP(V17,{1,2,3,4,5,6,7,8,9,10,11,12},{"4C","4B","4A","3C","3B","3A","2C","2B","2A","1C","1B","1A"})</x:f>
        <x:v>4B</x:v>
      </x:c>
      <x:c r="N17" s="28" t="s">
        <x:v>238</x:v>
      </x:c>
      <x:c r="O17" s="17" t="s">
        <x:v>230</x:v>
      </x:c>
      <x:c r="P17" s="66" t="s">
        <x:v>230</x:v>
      </x:c>
      <x:c r="Q17" s="28"/>
      <x:c r="R17" s="17" t="s">
        <x:v>36</x:v>
      </x:c>
      <x:c r="S17" s="29"/>
      <x:c r="T17" s="42"/>
      <x:c r="V17" s="318">
        <x:f>(LOOKUP(J17,{"1A","1B","1C","2A","2B","2C","3A","3B","3C","4A","4B","4C"},{12,11,10,9,8,7,6,5,4,3,2,1})+LOOKUP(K17,{"1A","1B","1C","2A","2B","2C","3A","3B","3C","4A","4B","4C"},{12,11,10,9,8,7,6,5,4,3,2,1}))/2</x:f>
        <x:v>2</x:v>
      </x:c>
    </x:row>
    <x:row r="18" spans="1:22" s="14" customFormat="1" customHeight="1">
      <x:c r="A18" s="73">
        <x:v>14</x:v>
      </x:c>
      <x:c r="B18" s="15" t="s">
        <x:v>364</x:v>
      </x:c>
      <x:c r="C18" s="15" t="s">
        <x:v>285</x:v>
      </x:c>
      <x:c r="D18" s="15" t="s">
        <x:v>210</x:v>
      </x:c>
      <x:c r="E18" s="15"/>
      <x:c r="F18" s="16" t="s">
        <x:v>94</x:v>
      </x:c>
      <x:c r="G18" s="15"/>
      <x:c r="H18" s="15" t="s">
        <x:v>267</x:v>
      </x:c>
      <x:c r="I18" s="29" t="s">
        <x:v>327</x:v>
      </x:c>
      <x:c r="J18" s="28" t="s">
        <x:v>230</x:v>
      </x:c>
      <x:c r="K18" s="17" t="s">
        <x:v>230</x:v>
      </x:c>
      <x:c r="L18" s="345" t="s">
        <x:v>230</x:v>
      </x:c>
      <x:c r="M18" s="356" t="str">
        <x:f>LOOKUP(V18,{1,2,3,4,5,6,7,8,9,10,11,12},{"4C","4B","4A","3C","3B","3A","2C","2B","2A","1C","1B","1A"})</x:f>
        <x:v>4A</x:v>
      </x:c>
      <x:c r="N18" s="28" t="s">
        <x:v>230</x:v>
      </x:c>
      <x:c r="O18" s="17" t="s">
        <x:v>230</x:v>
      </x:c>
      <x:c r="P18" s="66" t="s">
        <x:v>230</x:v>
      </x:c>
      <x:c r="Q18" s="28" t="s">
        <x:v>191</x:v>
      </x:c>
      <x:c r="R18" s="17"/>
      <x:c r="S18" s="29"/>
      <x:c r="T18" s="42"/>
      <x:c r="V18" s="318">
        <x:f>(LOOKUP(J18,{"1A","1B","1C","2A","2B","2C","3A","3B","3C","4A","4B","4C"},{12,11,10,9,8,7,6,5,4,3,2,1})+LOOKUP(K18,{"1A","1B","1C","2A","2B","2C","3A","3B","3C","4A","4B","4C"},{12,11,10,9,8,7,6,5,4,3,2,1}))/2</x:f>
        <x:v>3</x:v>
      </x:c>
    </x:row>
    <x:row r="19" spans="1:22" s="14" customFormat="1" customHeight="1">
      <x:c r="A19" s="97">
        <x:v>15</x:v>
      </x:c>
      <x:c r="B19" s="56" t="s">
        <x:v>364</x:v>
      </x:c>
      <x:c r="C19" s="56" t="s">
        <x:v>349</x:v>
      </x:c>
      <x:c r="D19" s="56" t="s">
        <x:v>210</x:v>
      </x:c>
      <x:c r="E19" s="56"/>
      <x:c r="F19" s="56" t="s">
        <x:v>266</x:v>
      </x:c>
      <x:c r="G19" s="56"/>
      <x:c r="H19" s="56" t="s">
        <x:v>267</x:v>
      </x:c>
      <x:c r="I19" s="35" t="s">
        <x:v>325</x:v>
      </x:c>
      <x:c r="J19" s="34" t="s">
        <x:v>230</x:v>
      </x:c>
      <x:c r="K19" s="21" t="s">
        <x:v>230</x:v>
      </x:c>
      <x:c r="L19" s="345" t="s">
        <x:v>230</x:v>
      </x:c>
      <x:c r="M19" s="356" t="str">
        <x:f>LOOKUP(V19,{1,2,3,4,5,6,7,8,9,10,11,12},{"4C","4B","4A","3C","3B","3A","2C","2B","2A","1C","1B","1A"})</x:f>
        <x:v>4A</x:v>
      </x:c>
      <x:c r="N19" s="34" t="s">
        <x:v>230</x:v>
      </x:c>
      <x:c r="O19" s="21" t="s">
        <x:v>230</x:v>
      </x:c>
      <x:c r="P19" s="83" t="s">
        <x:v>230</x:v>
      </x:c>
      <x:c r="Q19" s="34"/>
      <x:c r="R19" s="21"/>
      <x:c r="S19" s="35"/>
      <x:c r="T19" s="80"/>
      <x:c r="V19" s="318">
        <x:f>(LOOKUP(J19,{"1A","1B","1C","2A","2B","2C","3A","3B","3C","4A","4B","4C"},{12,11,10,9,8,7,6,5,4,3,2,1})+LOOKUP(K19,{"1A","1B","1C","2A","2B","2C","3A","3B","3C","4A","4B","4C"},{12,11,10,9,8,7,6,5,4,3,2,1}))/2</x:f>
        <x:v>3</x:v>
      </x:c>
    </x:row>
    <x:row r="20" spans="1:22" s="14" customFormat="1" customHeight="1">
      <x:c r="A20" s="73">
        <x:v>16</x:v>
      </x:c>
      <x:c r="B20" s="15" t="s">
        <x:v>364</x:v>
      </x:c>
      <x:c r="C20" s="15" t="s">
        <x:v>349</x:v>
      </x:c>
      <x:c r="D20" s="15" t="s">
        <x:v>217</x:v>
      </x:c>
      <x:c r="E20" s="15"/>
      <x:c r="F20" s="16" t="s">
        <x:v>121</x:v>
      </x:c>
      <x:c r="G20" s="15"/>
      <x:c r="H20" s="15" t="s">
        <x:v>267</x:v>
      </x:c>
      <x:c r="I20" s="29" t="s">
        <x:v>325</x:v>
      </x:c>
      <x:c r="J20" s="17" t="s">
        <x:v>158</x:v>
      </x:c>
      <x:c r="K20" s="39" t="s">
        <x:v>223</x:v>
      </x:c>
      <x:c r="L20" s="345" t="s">
        <x:v>158</x:v>
      </x:c>
      <x:c r="M20" s="356" t="str">
        <x:f>LOOKUP(V20,{1,2,3,4,5,6,7,8,9,10,11,12},{"4C","4B","4A","3C","3B","3A","2C","2B","2A","1C","1B","1A"})</x:f>
        <x:v>2B</x:v>
      </x:c>
      <x:c r="N20" s="46" t="s">
        <x:v>158</x:v>
      </x:c>
      <x:c r="O20" s="39" t="s">
        <x:v>223</x:v>
      </x:c>
      <x:c r="P20" s="66" t="s">
        <x:v>158</x:v>
      </x:c>
      <x:c r="Q20" s="28"/>
      <x:c r="R20" s="17" t="s">
        <x:v>158</x:v>
      </x:c>
      <x:c r="S20" s="29"/>
      <x:c r="T20" s="42"/>
      <x:c r="V20" s="318">
        <x:f>(LOOKUP(J20,{"1A","1B","1C","2A","2B","2C","3A","3B","3C","4A","4B","4C"},{12,11,10,9,8,7,6,5,4,3,2,1})+LOOKUP(K20,{"1A","1B","1C","2A","2B","2C","3A","3B","3C","4A","4B","4C"},{12,11,10,9,8,7,6,5,4,3,2,1}))/2</x:f>
        <x:v>8.5</x:v>
      </x:c>
    </x:row>
    <x:row r="21" spans="1:22" s="11" customFormat="1" customHeight="1">
      <x:c r="A21" s="97">
        <x:v>17</x:v>
      </x:c>
      <x:c r="B21" s="15" t="s">
        <x:v>364</x:v>
      </x:c>
      <x:c r="C21" s="15" t="s">
        <x:v>349</x:v>
      </x:c>
      <x:c r="D21" s="15" t="s">
        <x:v>217</x:v>
      </x:c>
      <x:c r="E21" s="16"/>
      <x:c r="F21" s="16" t="s">
        <x:v>176</x:v>
      </x:c>
      <x:c r="G21" s="16"/>
      <x:c r="H21" s="15" t="s">
        <x:v>267</x:v>
      </x:c>
      <x:c r="I21" s="29" t="s">
        <x:v>339</x:v>
      </x:c>
      <x:c r="J21" s="28" t="s">
        <x:v>225</x:v>
      </x:c>
      <x:c r="K21" s="17" t="s">
        <x:v>225</x:v>
      </x:c>
      <x:c r="L21" s="345" t="s">
        <x:v>225</x:v>
      </x:c>
      <x:c r="M21" s="356" t="str">
        <x:f>LOOKUP(V21,{1,2,3,4,5,6,7,8,9,10,11,12},{"4C","4B","4A","3C","3B","3A","2C","2B","2A","1C","1B","1A"})</x:f>
        <x:v>1A</x:v>
      </x:c>
      <x:c r="N21" s="28" t="s">
        <x:v>225</x:v>
      </x:c>
      <x:c r="O21" s="17" t="s">
        <x:v>225</x:v>
      </x:c>
      <x:c r="P21" s="66" t="s">
        <x:v>225</x:v>
      </x:c>
      <x:c r="Q21" s="31"/>
      <x:c r="R21" s="18"/>
      <x:c r="S21" s="30"/>
      <x:c r="T21" s="42"/>
      <x:c r="V21" s="318">
        <x:f>(LOOKUP(J21,{"1A","1B","1C","2A","2B","2C","3A","3B","3C","4A","4B","4C"},{12,11,10,9,8,7,6,5,4,3,2,1})+LOOKUP(K21,{"1A","1B","1C","2A","2B","2C","3A","3B","3C","4A","4B","4C"},{12,11,10,9,8,7,6,5,4,3,2,1}))/2</x:f>
        <x:v>12</x:v>
      </x:c>
    </x:row>
    <x:row r="22" spans="1:22" s="37" customFormat="1" customHeight="1">
      <x:c r="A22" s="73">
        <x:v>18</x:v>
      </x:c>
      <x:c r="B22" s="15" t="s">
        <x:v>364</x:v>
      </x:c>
      <x:c r="C22" s="15" t="s">
        <x:v>349</x:v>
      </x:c>
      <x:c r="D22" s="16" t="s">
        <x:v>173</x:v>
      </x:c>
      <x:c r="E22" s="15"/>
      <x:c r="F22" s="16" t="s">
        <x:v>27</x:v>
      </x:c>
      <x:c r="G22" s="15"/>
      <x:c r="H22" s="15" t="s">
        <x:v>267</x:v>
      </x:c>
      <x:c r="I22" s="29" t="s">
        <x:v>339</x:v>
      </x:c>
      <x:c r="J22" s="28" t="s">
        <x:v>225</x:v>
      </x:c>
      <x:c r="K22" s="17" t="s">
        <x:v>175</x:v>
      </x:c>
      <x:c r="L22" s="345" t="s">
        <x:v>225</x:v>
      </x:c>
      <x:c r="M22" s="356" t="str">
        <x:f>LOOKUP(V22,{1,2,3,4,5,6,7,8,9,10,11,12},{"4C","4B","4A","3C","3B","3A","2C","2B","2A","1C","1B","1A"})</x:f>
        <x:v>2A</x:v>
      </x:c>
      <x:c r="N22" s="28" t="s">
        <x:v>225</x:v>
      </x:c>
      <x:c r="O22" s="364" t="s">
        <x:v>223</x:v>
      </x:c>
      <x:c r="P22" s="66" t="s">
        <x:v>225</x:v>
      </x:c>
      <x:c r="Q22" s="28"/>
      <x:c r="R22" s="17" t="s">
        <x:v>158</x:v>
      </x:c>
      <x:c r="S22" s="118"/>
      <x:c r="T22" s="42"/>
      <x:c r="V22" s="318">
        <x:f>(LOOKUP(J22,{"1A","1B","1C","2A","2B","2C","3A","3B","3C","4A","4B","4C"},{12,11,10,9,8,7,6,5,4,3,2,1})+LOOKUP(K22,{"1A","1B","1C","2A","2B","2C","3A","3B","3C","4A","4B","4C"},{12,11,10,9,8,7,6,5,4,3,2,1}))/2</x:f>
        <x:v>9.5</x:v>
      </x:c>
    </x:row>
    <x:row r="23" spans="1:22" s="37" customFormat="1" customHeight="1">
      <x:c r="A23" s="97">
        <x:v>19</x:v>
      </x:c>
      <x:c r="B23" s="15" t="s">
        <x:v>364</x:v>
      </x:c>
      <x:c r="C23" s="15" t="s">
        <x:v>349</x:v>
      </x:c>
      <x:c r="D23" s="15" t="s">
        <x:v>173</x:v>
      </x:c>
      <x:c r="E23" s="15"/>
      <x:c r="F23" s="16" t="s">
        <x:v>205</x:v>
      </x:c>
      <x:c r="G23" s="15"/>
      <x:c r="H23" s="15" t="s">
        <x:v>267</x:v>
      </x:c>
      <x:c r="I23" s="29" t="s">
        <x:v>339</x:v>
      </x:c>
      <x:c r="J23" s="28" t="s">
        <x:v>215</x:v>
      </x:c>
      <x:c r="K23" s="17" t="s">
        <x:v>215</x:v>
      </x:c>
      <x:c r="L23" s="345" t="s">
        <x:v>215</x:v>
      </x:c>
      <x:c r="M23" s="356" t="str">
        <x:f>LOOKUP(V23,{1,2,3,4,5,6,7,8,9,10,11,12},{"4C","4B","4A","3C","3B","3A","2C","2B","2A","1C","1B","1A"})</x:f>
        <x:v>1C</x:v>
      </x:c>
      <x:c r="N23" s="28" t="s">
        <x:v>215</x:v>
      </x:c>
      <x:c r="O23" s="17" t="s">
        <x:v>215</x:v>
      </x:c>
      <x:c r="P23" s="66" t="s">
        <x:v>215</x:v>
      </x:c>
      <x:c r="Q23" s="28" t="s">
        <x:v>162</x:v>
      </x:c>
      <x:c r="R23" s="17"/>
      <x:c r="S23" s="29"/>
      <x:c r="T23" s="42"/>
      <x:c r="V23" s="318">
        <x:f>(LOOKUP(J23,{"1A","1B","1C","2A","2B","2C","3A","3B","3C","4A","4B","4C"},{12,11,10,9,8,7,6,5,4,3,2,1})+LOOKUP(K23,{"1A","1B","1C","2A","2B","2C","3A","3B","3C","4A","4B","4C"},{12,11,10,9,8,7,6,5,4,3,2,1}))/2</x:f>
        <x:v>10</x:v>
      </x:c>
    </x:row>
    <x:row r="24" spans="1:22" s="37" customFormat="1" customHeight="1">
      <x:c r="A24" s="73">
        <x:v>20</x:v>
      </x:c>
      <x:c r="B24" s="56" t="s">
        <x:v>364</x:v>
      </x:c>
      <x:c r="C24" s="56" t="s">
        <x:v>285</x:v>
      </x:c>
      <x:c r="D24" s="56" t="s">
        <x:v>173</x:v>
      </x:c>
      <x:c r="E24" s="56"/>
      <x:c r="F24" s="56" t="s">
        <x:v>261</x:v>
      </x:c>
      <x:c r="G24" s="56"/>
      <x:c r="H24" s="56" t="s">
        <x:v>267</x:v>
      </x:c>
      <x:c r="I24" s="35" t="s">
        <x:v>327</x:v>
      </x:c>
      <x:c r="J24" s="34" t="s">
        <x:v>36</x:v>
      </x:c>
      <x:c r="K24" s="21" t="s">
        <x:v>191</x:v>
      </x:c>
      <x:c r="L24" s="345" t="s">
        <x:v>36</x:v>
      </x:c>
      <x:c r="M24" s="356" t="str">
        <x:f>LOOKUP(V24,{1,2,3,4,5,6,7,8,9,10,11,12},{"4C","4B","4A","3C","3B","3A","2C","2B","2A","1C","1B","1A"})</x:f>
        <x:v>3B</x:v>
      </x:c>
      <x:c r="N24" s="34" t="s">
        <x:v>36</x:v>
      </x:c>
      <x:c r="O24" s="21" t="s">
        <x:v>191</x:v>
      </x:c>
      <x:c r="P24" s="83" t="s">
        <x:v>36</x:v>
      </x:c>
      <x:c r="Q24" s="34"/>
      <x:c r="R24" s="21"/>
      <x:c r="S24" s="35"/>
      <x:c r="T24" s="80"/>
      <x:c r="V24" s="318">
        <x:f>(LOOKUP(J24,{"1A","1B","1C","2A","2B","2C","3A","3B","3C","4A","4B","4C"},{12,11,10,9,8,7,6,5,4,3,2,1})+LOOKUP(K24,{"1A","1B","1C","2A","2B","2C","3A","3B","3C","4A","4B","4C"},{12,11,10,9,8,7,6,5,4,3,2,1}))/2</x:f>
        <x:v>5</x:v>
      </x:c>
    </x:row>
    <x:row r="25" spans="1:22" s="37" customFormat="1" customHeight="1">
      <x:c r="A25" s="97">
        <x:v>21</x:v>
      </x:c>
      <x:c r="B25" s="86" t="s">
        <x:v>364</x:v>
      </x:c>
      <x:c r="C25" s="86" t="s">
        <x:v>285</x:v>
      </x:c>
      <x:c r="D25" s="86" t="s">
        <x:v>173</x:v>
      </x:c>
      <x:c r="E25" s="86"/>
      <x:c r="F25" s="86" t="s">
        <x:v>45</x:v>
      </x:c>
      <x:c r="G25" s="196"/>
      <x:c r="H25" s="86" t="s">
        <x:v>267</x:v>
      </x:c>
      <x:c r="I25" s="90" t="s">
        <x:v>339</x:v>
      </x:c>
      <x:c r="J25" s="88" t="s">
        <x:v>158</x:v>
      </x:c>
      <x:c r="K25" s="89" t="s">
        <x:v>238</x:v>
      </x:c>
      <x:c r="L25" s="345" t="s">
        <x:v>158</x:v>
      </x:c>
      <x:c r="M25" s="356" t="str">
        <x:f>LOOKUP(V25,{1,2,3,4,5,6,7,8,9,10,11,12},{"4C","4B","4A","3C","3B","3A","2C","2B","2A","1C","1B","1A"})</x:f>
        <x:v>3B</x:v>
      </x:c>
      <x:c r="N25" s="88" t="s">
        <x:v>158</x:v>
      </x:c>
      <x:c r="O25" s="89" t="s">
        <x:v>238</x:v>
      </x:c>
      <x:c r="P25" s="262" t="s">
        <x:v>158</x:v>
      </x:c>
      <x:c r="Q25" s="88"/>
      <x:c r="R25" s="89"/>
      <x:c r="S25" s="90"/>
      <x:c r="T25" s="223"/>
      <x:c r="V25" s="318">
        <x:f>(LOOKUP(J25,{"1A","1B","1C","2A","2B","2C","3A","3B","3C","4A","4B","4C"},{12,11,10,9,8,7,6,5,4,3,2,1})+LOOKUP(K25,{"1A","1B","1C","2A","2B","2C","3A","3B","3C","4A","4B","4C"},{12,11,10,9,8,7,6,5,4,3,2,1}))/2</x:f>
        <x:v>5</x:v>
      </x:c>
    </x:row>
    <x:row r="26" spans="1:22" s="12" customFormat="1" customHeight="1">
      <x:c r="A26" s="73">
        <x:v>22</x:v>
      </x:c>
      <x:c r="B26" s="15" t="s">
        <x:v>364</x:v>
      </x:c>
      <x:c r="C26" s="15" t="s">
        <x:v>285</x:v>
      </x:c>
      <x:c r="D26" s="15" t="s">
        <x:v>173</x:v>
      </x:c>
      <x:c r="E26" s="16"/>
      <x:c r="F26" s="16" t="s">
        <x:v>43</x:v>
      </x:c>
      <x:c r="G26" s="15"/>
      <x:c r="H26" s="15" t="s">
        <x:v>267</x:v>
      </x:c>
      <x:c r="I26" s="29" t="s">
        <x:v>339</x:v>
      </x:c>
      <x:c r="J26" s="28" t="s">
        <x:v>230</x:v>
      </x:c>
      <x:c r="K26" s="17" t="s">
        <x:v>191</x:v>
      </x:c>
      <x:c r="L26" s="345" t="s">
        <x:v>191</x:v>
      </x:c>
      <x:c r="M26" s="356" t="str">
        <x:f>LOOKUP(V26,{1,2,3,4,5,6,7,8,9,10,11,12},{"4C","4B","4A","3C","3B","3A","2C","2B","2A","1C","1B","1A"})</x:f>
        <x:v>4A</x:v>
      </x:c>
      <x:c r="N26" s="28" t="s">
        <x:v>230</x:v>
      </x:c>
      <x:c r="O26" s="17" t="s">
        <x:v>191</x:v>
      </x:c>
      <x:c r="P26" s="66" t="s">
        <x:v>191</x:v>
      </x:c>
      <x:c r="Q26" s="28" t="s">
        <x:v>188</x:v>
      </x:c>
      <x:c r="R26" s="17"/>
      <x:c r="S26" s="29"/>
      <x:c r="T26" s="42"/>
      <x:c r="V26" s="318">
        <x:f>(LOOKUP(J26,{"1A","1B","1C","2A","2B","2C","3A","3B","3C","4A","4B","4C"},{12,11,10,9,8,7,6,5,4,3,2,1})+LOOKUP(K26,{"1A","1B","1C","2A","2B","2C","3A","3B","3C","4A","4B","4C"},{12,11,10,9,8,7,6,5,4,3,2,1}))/2</x:f>
        <x:v>3.5</x:v>
      </x:c>
    </x:row>
    <x:row r="27" spans="1:22" s="8" customFormat="1" customHeight="1">
      <x:c r="A27" s="97">
        <x:v>23</x:v>
      </x:c>
      <x:c r="B27" s="86" t="s">
        <x:v>364</x:v>
      </x:c>
      <x:c r="C27" s="86" t="s">
        <x:v>381</x:v>
      </x:c>
      <x:c r="D27" s="86" t="s">
        <x:v>173</x:v>
      </x:c>
      <x:c r="E27" s="86"/>
      <x:c r="F27" s="86" t="s">
        <x:v>99</x:v>
      </x:c>
      <x:c r="G27" s="196"/>
      <x:c r="H27" s="86" t="s">
        <x:v>267</x:v>
      </x:c>
      <x:c r="I27" s="90" t="s">
        <x:v>325</x:v>
      </x:c>
      <x:c r="J27" s="88" t="s">
        <x:v>238</x:v>
      </x:c>
      <x:c r="K27" s="89" t="s">
        <x:v>230</x:v>
      </x:c>
      <x:c r="L27" s="345" t="s">
        <x:v>230</x:v>
      </x:c>
      <x:c r="M27" s="356" t="str">
        <x:f>LOOKUP(V27,{1,2,3,4,5,6,7,8,9,10,11,12},{"4C","4B","4A","3C","3B","3A","2C","2B","2A","1C","1B","1A"})</x:f>
        <x:v>4B</x:v>
      </x:c>
      <x:c r="N27" s="88" t="s">
        <x:v>238</x:v>
      </x:c>
      <x:c r="O27" s="89" t="s">
        <x:v>230</x:v>
      </x:c>
      <x:c r="P27" s="262" t="s">
        <x:v>230</x:v>
      </x:c>
      <x:c r="Q27" s="88"/>
      <x:c r="R27" s="89" t="s">
        <x:v>188</x:v>
      </x:c>
      <x:c r="S27" s="90"/>
      <x:c r="T27" s="223"/>
      <x:c r="V27" s="318">
        <x:f>(LOOKUP(J27,{"1A","1B","1C","2A","2B","2C","3A","3B","3C","4A","4B","4C"},{12,11,10,9,8,7,6,5,4,3,2,1})+LOOKUP(K27,{"1A","1B","1C","2A","2B","2C","3A","3B","3C","4A","4B","4C"},{12,11,10,9,8,7,6,5,4,3,2,1}))/2</x:f>
        <x:v>2</x:v>
      </x:c>
    </x:row>
    <x:row r="28" spans="1:22" s="12" customFormat="1" customHeight="1">
      <x:c r="A28" s="73">
        <x:v>24</x:v>
      </x:c>
      <x:c r="B28" s="15" t="s">
        <x:v>364</x:v>
      </x:c>
      <x:c r="C28" s="15" t="s">
        <x:v>349</x:v>
      </x:c>
      <x:c r="D28" s="15" t="s">
        <x:v>171</x:v>
      </x:c>
      <x:c r="E28" s="15"/>
      <x:c r="F28" s="16" t="s">
        <x:v>55</x:v>
      </x:c>
      <x:c r="G28" s="15"/>
      <x:c r="H28" s="15" t="s">
        <x:v>267</x:v>
      </x:c>
      <x:c r="I28" s="29" t="s">
        <x:v>325</x:v>
      </x:c>
      <x:c r="J28" s="28" t="s">
        <x:v>230</x:v>
      </x:c>
      <x:c r="K28" s="17" t="s">
        <x:v>230</x:v>
      </x:c>
      <x:c r="L28" s="246" t="s">
        <x:v>230</x:v>
      </x:c>
      <x:c r="M28" s="356" t="str">
        <x:f>LOOKUP(V28,{1,2,3,4,5,6,7,8,9,10,11,12},{"4C","4B","4A","3C","3B","3A","2C","2B","2A","1C","1B","1A"})</x:f>
        <x:v>4A</x:v>
      </x:c>
      <x:c r="N28" s="28" t="s">
        <x:v>230</x:v>
      </x:c>
      <x:c r="O28" s="17" t="s">
        <x:v>230</x:v>
      </x:c>
      <x:c r="P28" s="70" t="s">
        <x:v>230</x:v>
      </x:c>
      <x:c r="Q28" s="28"/>
      <x:c r="R28" s="17" t="s">
        <x:v>36</x:v>
      </x:c>
      <x:c r="S28" s="29"/>
      <x:c r="T28" s="42"/>
      <x:c r="V28" s="318">
        <x:f>(LOOKUP(J28,{"1A","1B","1C","2A","2B","2C","3A","3B","3C","4A","4B","4C"},{12,11,10,9,8,7,6,5,4,3,2,1})+LOOKUP(K28,{"1A","1B","1C","2A","2B","2C","3A","3B","3C","4A","4B","4C"},{12,11,10,9,8,7,6,5,4,3,2,1}))/2</x:f>
        <x:v>3</x:v>
      </x:c>
    </x:row>
    <x:row r="29" spans="1:22" s="11" customFormat="1" customHeight="1">
      <x:c r="A29" s="97">
        <x:v>25</x:v>
      </x:c>
      <x:c r="B29" s="15" t="s">
        <x:v>364</x:v>
      </x:c>
      <x:c r="C29" s="249" t="s">
        <x:v>349</x:v>
      </x:c>
      <x:c r="D29" s="249" t="s">
        <x:v>167</x:v>
      </x:c>
      <x:c r="E29" s="250">
        <x:v>7</x:v>
      </x:c>
      <x:c r="F29" s="249" t="s">
        <x:v>35</x:v>
      </x:c>
      <x:c r="G29" s="249"/>
      <x:c r="H29" s="249" t="s">
        <x:v>267</x:v>
      </x:c>
      <x:c r="I29" s="219" t="s">
        <x:v>325</x:v>
      </x:c>
      <x:c r="J29" s="251" t="s">
        <x:v>201</x:v>
      </x:c>
      <x:c r="K29" s="249" t="s">
        <x:v>201</x:v>
      </x:c>
      <x:c r="L29" s="362" t="s">
        <x:v>201</x:v>
      </x:c>
      <x:c r="M29" s="356" t="str">
        <x:f>LOOKUP(V29,{1,2,3,4,5,6,7,8,9,10,11,12},{"4C","4B","4A","3C","3B","3A","2C","2B","2A","1C","1B","1A"})</x:f>
        <x:v>4B</x:v>
      </x:c>
      <x:c r="N29" s="251" t="s">
        <x:v>201</x:v>
      </x:c>
      <x:c r="O29" s="369" t="s">
        <x:v>230</x:v>
      </x:c>
      <x:c r="P29" s="370" t="s">
        <x:v>230</x:v>
      </x:c>
      <x:c r="Q29" s="251"/>
      <x:c r="R29" s="249" t="s">
        <x:v>36</x:v>
      </x:c>
      <x:c r="S29" s="219"/>
      <x:c r="T29" s="42"/>
      <x:c r="V29" s="318">
        <x:f>(LOOKUP(J29,{"1A","1B","1C","2A","2B","2C","3A","3B","3C","4A","4B","4C"},{12,11,10,9,8,7,6,5,4,3,2,1})+LOOKUP(K29,{"1A","1B","1C","2A","2B","2C","3A","3B","3C","4A","4B","4C"},{12,11,10,9,8,7,6,5,4,3,2,1}))/2</x:f>
        <x:v>2</x:v>
      </x:c>
    </x:row>
    <x:row r="30" spans="1:22" s="12" customFormat="1" customHeight="1">
      <x:c r="A30" s="67">
        <x:v>26</x:v>
      </x:c>
      <x:c r="B30" s="68" t="s">
        <x:v>364</x:v>
      </x:c>
      <x:c r="C30" s="68" t="s">
        <x:v>285</x:v>
      </x:c>
      <x:c r="D30" s="68" t="s">
        <x:v>167</x:v>
      </x:c>
      <x:c r="E30" s="48">
        <x:v>7</x:v>
      </x:c>
      <x:c r="F30" s="68" t="s">
        <x:v>66</x:v>
      </x:c>
      <x:c r="G30" s="68"/>
      <x:c r="H30" s="68" t="s">
        <x:v>267</x:v>
      </x:c>
      <x:c r="I30" s="69" t="s">
        <x:v>327</x:v>
      </x:c>
      <x:c r="J30" s="67" t="s">
        <x:v>238</x:v>
      </x:c>
      <x:c r="K30" s="68" t="s">
        <x:v>238</x:v>
      </x:c>
      <x:c r="L30" s="347" t="s">
        <x:v>238</x:v>
      </x:c>
      <x:c r="M30" s="358" t="str">
        <x:f>LOOKUP(V30,{1,2,3,4,5,6,7,8,9,10,11,12},{"4C","4B","4A","3C","3B","3A","2C","2B","2A","1C","1B","1A"})</x:f>
        <x:v>4C</x:v>
      </x:c>
      <x:c r="N30" s="67" t="s">
        <x:v>238</x:v>
      </x:c>
      <x:c r="O30" s="68" t="s">
        <x:v>238</x:v>
      </x:c>
      <x:c r="P30" s="252" t="s">
        <x:v>238</x:v>
      </x:c>
      <x:c r="Q30" s="67" t="s">
        <x:v>230</x:v>
      </x:c>
      <x:c r="R30" s="68" t="s">
        <x:v>230</x:v>
      </x:c>
      <x:c r="S30" s="69"/>
      <x:c r="T30" s="99"/>
      <x:c r="V30" s="318">
        <x:f>(LOOKUP(J30,{"1A","1B","1C","2A","2B","2C","3A","3B","3C","4A","4B","4C"},{12,11,10,9,8,7,6,5,4,3,2,1})+LOOKUP(K30,{"1A","1B","1C","2A","2B","2C","3A","3B","3C","4A","4B","4C"},{12,11,10,9,8,7,6,5,4,3,2,1}))/2</x:f>
        <x:v>1</x:v>
      </x:c>
    </x:row>
    <x:row r="31" spans="13:22" ht="14.59999999999999964473">
      <x:c r="M31" s="359"/>
      <x:c r="T31" s="24"/>
      <x:c r="V31" s="314"/>
    </x:row>
  </x:sheetData>
  <x:autoFilter ref="A4:T31"/>
  <x:mergeCells count="14">
    <x:mergeCell ref="A1:T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M3"/>
    <x:mergeCell ref="N3:P3"/>
    <x:mergeCell ref="Q3:S3"/>
    <x:mergeCell ref="T3:T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>
    <x:tabColor rgb="ffbaff1a"/>
  </x:sheetPr>
  <x:dimension ref="A1:AH53"/>
  <x:sheetViews>
    <x:sheetView topLeftCell="A1" zoomScaleNormal="75" zoomScaleSheetLayoutView="100" workbookViewId="0">
      <x:selection activeCell="AF45" activeCellId="0" sqref="AF45:AF45"/>
    </x:sheetView>
  </x:sheetViews>
  <x:sheetFormatPr defaultColWidth="8.88671875" defaultRowHeight="13.55000000000000071054"/>
  <x:cols>
    <x:col min="1" max="1" width="8.88671875" style="1" bestFit="1" customWidth="1"/>
    <x:col min="6" max="6" width="10.859375" style="1" bestFit="1" customWidth="1"/>
    <x:col min="7" max="7" width="10.796875" style="1" bestFit="1" customWidth="1"/>
    <x:col min="9" max="9" width="12.890625" style="1" customWidth="1"/>
    <x:col min="10" max="27" width="14.33203125" style="1" customWidth="1"/>
    <x:col min="28" max="28" width="16.2578125" style="1" bestFit="1" customWidth="1"/>
    <x:col min="29" max="29" width="14.33203125" style="1" customWidth="1"/>
    <x:col min="30" max="30" width="16.2578125" style="1" bestFit="1" customWidth="1"/>
    <x:col min="31" max="31" width="14.33203125" style="1" customWidth="1"/>
    <x:col min="32" max="32" width="16.2578125" style="1" bestFit="1" customWidth="1"/>
    <x:col min="33" max="33" width="12.77734375" style="1" customWidth="1"/>
    <x:col min="34" max="34" width="8.88671875" style="1" hidden="1" bestFit="1" customWidth="1"/>
  </x:cols>
  <x:sheetData>
    <x:row r="1" spans="1:5">
      <x:c r="A1" s="478" t="s">
        <x:v>338</x:v>
      </x:c>
      <x:c r="B1" s="478"/>
      <x:c r="C1" s="478"/>
      <x:c r="D1" s="478"/>
      <x:c r="E1" s="478"/>
    </x:row>
    <x:row r="2" spans="1:5">
      <x:c r="A2" s="478"/>
      <x:c r="B2" s="478"/>
      <x:c r="C2" s="478"/>
      <x:c r="D2" s="478"/>
      <x:c r="E2" s="478"/>
    </x:row>
    <x:row r="3" spans="1:5">
      <x:c r="A3" s="478"/>
      <x:c r="B3" s="478"/>
      <x:c r="C3" s="478"/>
      <x:c r="D3" s="478"/>
      <x:c r="E3" s="478"/>
    </x:row>
    <x:row r="4" spans="1:5">
      <x:c r="A4" s="478"/>
      <x:c r="B4" s="478"/>
      <x:c r="C4" s="478"/>
      <x:c r="D4" s="478"/>
      <x:c r="E4" s="478"/>
    </x:row>
    <x:row r="5" spans="1:5">
      <x:c r="A5" s="478"/>
      <x:c r="B5" s="478"/>
      <x:c r="C5" s="478"/>
      <x:c r="D5" s="478"/>
      <x:c r="E5" s="478"/>
    </x:row>
    <x:row r="6" spans="1:5">
      <x:c r="A6" s="478"/>
      <x:c r="B6" s="478"/>
      <x:c r="C6" s="478"/>
      <x:c r="D6" s="478"/>
      <x:c r="E6" s="478"/>
    </x:row>
    <x:row r="7" spans="1:32" ht="30.94999999999999928946" customHeight="1">
      <x:c r="A7" s="390"/>
      <x:c r="B7" s="390"/>
      <x:c r="C7" s="390"/>
      <x:c r="D7" s="390"/>
      <x:c r="E7" s="390"/>
      <x:c r="H7" s="491" t="s">
        <x:v>330</x:v>
      </x:c>
      <x:c r="I7" s="491"/>
      <x:c r="J7" s="491"/>
      <x:c r="K7" s="391"/>
      <x:c r="L7" s="391"/>
      <x:c r="M7" s="391"/>
      <x:c r="N7" s="391"/>
      <x:c r="O7" s="391"/>
      <x:c r="P7" s="391"/>
      <x:c r="Q7" s="391"/>
      <x:c r="R7" s="391"/>
      <x:c r="S7" s="391"/>
      <x:c r="T7" s="391"/>
      <x:c r="U7" s="391"/>
      <x:c r="V7" s="391"/>
      <x:c r="W7" s="391"/>
      <x:c r="X7" s="391"/>
      <x:c r="Y7" s="391"/>
      <x:c r="Z7" s="391"/>
      <x:c r="AA7" s="391"/>
      <x:c r="AB7" s="391"/>
      <x:c r="AC7" s="391"/>
      <x:c r="AD7" s="391"/>
      <x:c r="AE7" s="391"/>
      <x:c r="AF7" s="391"/>
    </x:row>
    <x:row r="8" spans="1:6" ht="19.94999999999999928946">
      <x:c r="A8" s="314"/>
      <x:c r="B8" s="314"/>
      <x:c r="C8" s="314"/>
      <x:c r="D8" s="489" t="s">
        <x:v>382</x:v>
      </x:c>
      <x:c r="E8" s="489"/>
      <x:c r="F8" s="489"/>
    </x:row>
    <x:row r="9" spans="1:32" ht="14.59999999999999964473">
      <x:c r="A9" s="136"/>
      <x:c r="B9" s="136"/>
      <x:c r="C9" s="136"/>
      <x:c r="D9" s="136"/>
      <x:c r="E9" s="136"/>
      <x:c r="F9" s="485" t="s">
        <x:v>308</x:v>
      </x:c>
      <x:c r="G9" s="486"/>
      <x:c r="H9" s="487"/>
      <x:c r="I9" s="488" t="s">
        <x:v>13</x:v>
      </x:c>
      <x:c r="J9" s="487"/>
      <x:c r="K9" s="488" t="s">
        <x:v>11</x:v>
      </x:c>
      <x:c r="L9" s="487"/>
      <x:c r="M9" s="488" t="s">
        <x:v>5</x:v>
      </x:c>
      <x:c r="N9" s="487"/>
      <x:c r="O9" s="488" t="s">
        <x:v>4</x:v>
      </x:c>
      <x:c r="P9" s="487"/>
      <x:c r="Q9" s="488" t="s">
        <x:v>12</x:v>
      </x:c>
      <x:c r="R9" s="487"/>
      <x:c r="S9" s="488" t="s">
        <x:v>1</x:v>
      </x:c>
      <x:c r="T9" s="487"/>
      <x:c r="U9" s="488" t="s">
        <x:v>6</x:v>
      </x:c>
      <x:c r="V9" s="487"/>
      <x:c r="W9" s="488" t="s">
        <x:v>7</x:v>
      </x:c>
      <x:c r="X9" s="487"/>
      <x:c r="Y9" s="488" t="s">
        <x:v>10</x:v>
      </x:c>
      <x:c r="Z9" s="487"/>
      <x:c r="AA9" s="488" t="s">
        <x:v>316</x:v>
      </x:c>
      <x:c r="AB9" s="487"/>
      <x:c r="AC9" s="488" t="s">
        <x:v>318</x:v>
      </x:c>
      <x:c r="AD9" s="487"/>
      <x:c r="AE9" s="488" t="s">
        <x:v>317</x:v>
      </x:c>
      <x:c r="AF9" s="487"/>
    </x:row>
    <x:row r="10" spans="1:32">
      <x:c r="A10" s="476" t="s">
        <x:v>300</x:v>
      </x:c>
      <x:c r="B10" s="476" t="s">
        <x:v>235</x:v>
      </x:c>
      <x:c r="C10" s="476" t="s">
        <x:v>257</x:v>
      </x:c>
      <x:c r="D10" s="476" t="s">
        <x:v>294</x:v>
      </x:c>
      <x:c r="E10" s="476" t="s">
        <x:v>186</x:v>
      </x:c>
      <x:c r="F10" s="479" t="s">
        <x:v>374</x:v>
      </x:c>
      <x:c r="G10" s="481" t="s">
        <x:v>369</x:v>
      </x:c>
      <x:c r="H10" s="483" t="s">
        <x:v>192</x:v>
      </x:c>
      <x:c r="I10" s="481" t="s">
        <x:v>374</x:v>
      </x:c>
      <x:c r="J10" s="483" t="s">
        <x:v>369</x:v>
      </x:c>
      <x:c r="K10" s="481" t="s">
        <x:v>374</x:v>
      </x:c>
      <x:c r="L10" s="483" t="s">
        <x:v>369</x:v>
      </x:c>
      <x:c r="M10" s="481" t="s">
        <x:v>374</x:v>
      </x:c>
      <x:c r="N10" s="483" t="s">
        <x:v>369</x:v>
      </x:c>
      <x:c r="O10" s="481" t="s">
        <x:v>374</x:v>
      </x:c>
      <x:c r="P10" s="483" t="s">
        <x:v>369</x:v>
      </x:c>
      <x:c r="Q10" s="481" t="s">
        <x:v>374</x:v>
      </x:c>
      <x:c r="R10" s="483" t="s">
        <x:v>369</x:v>
      </x:c>
      <x:c r="S10" s="481" t="s">
        <x:v>374</x:v>
      </x:c>
      <x:c r="T10" s="483" t="s">
        <x:v>369</x:v>
      </x:c>
      <x:c r="U10" s="481" t="s">
        <x:v>374</x:v>
      </x:c>
      <x:c r="V10" s="483" t="s">
        <x:v>369</x:v>
      </x:c>
      <x:c r="W10" s="481" t="s">
        <x:v>374</x:v>
      </x:c>
      <x:c r="X10" s="483" t="s">
        <x:v>369</x:v>
      </x:c>
      <x:c r="Y10" s="481" t="s">
        <x:v>374</x:v>
      </x:c>
      <x:c r="Z10" s="483" t="s">
        <x:v>369</x:v>
      </x:c>
      <x:c r="AA10" s="481" t="s">
        <x:v>374</x:v>
      </x:c>
      <x:c r="AB10" s="483" t="s">
        <x:v>369</x:v>
      </x:c>
      <x:c r="AC10" s="481" t="s">
        <x:v>374</x:v>
      </x:c>
      <x:c r="AD10" s="483" t="s">
        <x:v>369</x:v>
      </x:c>
      <x:c r="AE10" s="481" t="s">
        <x:v>374</x:v>
      </x:c>
      <x:c r="AF10" s="483" t="s">
        <x:v>369</x:v>
      </x:c>
    </x:row>
    <x:row r="11" spans="1:32">
      <x:c r="A11" s="477"/>
      <x:c r="B11" s="477"/>
      <x:c r="C11" s="477"/>
      <x:c r="D11" s="477"/>
      <x:c r="E11" s="477"/>
      <x:c r="F11" s="480"/>
      <x:c r="G11" s="482"/>
      <x:c r="H11" s="484"/>
      <x:c r="I11" s="482"/>
      <x:c r="J11" s="484"/>
      <x:c r="K11" s="482"/>
      <x:c r="L11" s="484"/>
      <x:c r="M11" s="482"/>
      <x:c r="N11" s="484"/>
      <x:c r="O11" s="482"/>
      <x:c r="P11" s="484"/>
      <x:c r="Q11" s="482"/>
      <x:c r="R11" s="484"/>
      <x:c r="S11" s="482"/>
      <x:c r="T11" s="484"/>
      <x:c r="U11" s="482"/>
      <x:c r="V11" s="484"/>
      <x:c r="W11" s="482"/>
      <x:c r="X11" s="484"/>
      <x:c r="Y11" s="482"/>
      <x:c r="Z11" s="484"/>
      <x:c r="AA11" s="482"/>
      <x:c r="AB11" s="484"/>
      <x:c r="AC11" s="482"/>
      <x:c r="AD11" s="484"/>
      <x:c r="AE11" s="482"/>
      <x:c r="AF11" s="484"/>
    </x:row>
    <x:row r="12" spans="1:34" ht="14.30000000000000071054">
      <x:c r="A12" s="392">
        <x:v>1</x:v>
      </x:c>
      <x:c r="B12" s="393" t="s">
        <x:v>382</x:v>
      </x:c>
      <x:c r="C12" s="394" t="s">
        <x:v>217</x:v>
      </x:c>
      <x:c r="D12" s="393" t="s">
        <x:v>297</x:v>
      </x:c>
      <x:c r="E12" s="394" t="s">
        <x:v>276</x:v>
      </x:c>
      <x:c r="F12" s="395" t="s">
        <x:v>158</x:v>
      </x:c>
      <x:c r="G12" s="396" t="s">
        <x:v>36</x:v>
      </x:c>
      <x:c r="H12" s="397" t="str">
        <x:f>LOOKUP(AH12,{1,2,3,4,5,6,7,8,9,10,11,12},{"4C","4B","4A","3C","3B","3A","2C","2B","2A","1C","1B","1A"})</x:f>
        <x:v>2C</x:v>
      </x:c>
      <x:c r="I12" s="398"/>
      <x:c r="J12" s="399"/>
      <x:c r="K12" s="398"/>
      <x:c r="L12" s="400"/>
      <x:c r="M12" s="398"/>
      <x:c r="N12" s="400"/>
      <x:c r="O12" s="398"/>
      <x:c r="P12" s="400"/>
      <x:c r="Q12" s="398"/>
      <x:c r="R12" s="400"/>
      <x:c r="S12" s="398"/>
      <x:c r="T12" s="400"/>
      <x:c r="U12" s="398"/>
      <x:c r="V12" s="400"/>
      <x:c r="W12" s="398"/>
      <x:c r="X12" s="400"/>
      <x:c r="Y12" s="398"/>
      <x:c r="Z12" s="400"/>
      <x:c r="AA12" s="398"/>
      <x:c r="AB12" s="400"/>
      <x:c r="AC12" s="398"/>
      <x:c r="AD12" s="400"/>
      <x:c r="AE12" s="398"/>
      <x:c r="AF12" s="400"/>
      <x:c r="AG12" s="401" t="s">
        <x:v>358</x:v>
      </x:c>
      <x:c r="AH12" s="402">
        <x:f>(LOOKUP(F12,{"1A","1B","1C","2A","2B","2C","3A","3B","3C","4A","4B","4C"},{12,11,10,9,8,7,6,5,4,3,2,1})+LOOKUP(G12,{"1A","1B","1C","2A","2B","2C","3A","3B","3C","4A","4B","4C"},{12,11,10,9,8,7,6,5,4,3,2,1}))/2</x:f>
        <x:v>7.5</x:v>
      </x:c>
    </x:row>
    <x:row r="13" spans="1:34" ht="14.19999999999999928946">
      <x:c r="A13" s="133">
        <x:v>2</x:v>
      </x:c>
      <x:c r="B13" s="25" t="s">
        <x:v>382</x:v>
      </x:c>
      <x:c r="C13" s="17" t="s">
        <x:v>168</x:v>
      </x:c>
      <x:c r="D13" s="25" t="s">
        <x:v>297</x:v>
      </x:c>
      <x:c r="E13" s="17" t="s">
        <x:v>150</x:v>
      </x:c>
      <x:c r="F13" s="403" t="s">
        <x:v>158</x:v>
      </x:c>
      <x:c r="G13" s="404" t="s">
        <x:v>36</x:v>
      </x:c>
      <x:c r="H13" s="405" t="str">
        <x:f>LOOKUP(AH13,{1,2,3,4,5,6,7,8,9,10,11,12},{"4C","4B","4A","3C","3B","3A","2C","2B","2A","1C","1B","1A"})</x:f>
        <x:v>2C</x:v>
      </x:c>
      <x:c r="I13" s="406"/>
      <x:c r="J13" s="407" t="s">
        <x:v>321</x:v>
      </x:c>
      <x:c r="K13" s="406"/>
      <x:c r="L13" s="407" t="s">
        <x:v>321</x:v>
      </x:c>
      <x:c r="M13" s="406"/>
      <x:c r="N13" s="407" t="s">
        <x:v>321</x:v>
      </x:c>
      <x:c r="O13" s="406"/>
      <x:c r="P13" s="407" t="s">
        <x:v>321</x:v>
      </x:c>
      <x:c r="Q13" s="406"/>
      <x:c r="R13" s="407" t="s">
        <x:v>321</x:v>
      </x:c>
      <x:c r="S13" s="406"/>
      <x:c r="T13" s="407" t="s">
        <x:v>321</x:v>
      </x:c>
      <x:c r="U13" s="406"/>
      <x:c r="V13" s="407" t="s">
        <x:v>321</x:v>
      </x:c>
      <x:c r="W13" s="406"/>
      <x:c r="X13" s="407" t="s">
        <x:v>321</x:v>
      </x:c>
      <x:c r="Y13" s="406"/>
      <x:c r="Z13" s="407" t="s">
        <x:v>321</x:v>
      </x:c>
      <x:c r="AA13" s="406"/>
      <x:c r="AB13" s="407" t="s">
        <x:v>321</x:v>
      </x:c>
      <x:c r="AC13" s="406"/>
      <x:c r="AD13" s="407" t="s">
        <x:v>321</x:v>
      </x:c>
      <x:c r="AE13" s="406"/>
      <x:c r="AF13" s="407" t="s">
        <x:v>321</x:v>
      </x:c>
      <x:c r="AG13" s="1" t="s">
        <x:v>378</x:v>
      </x:c>
      <x:c r="AH13" s="402">
        <x:f>(LOOKUP(F13,{"1A","1B","1C","2A","2B","2C","3A","3B","3C","4A","4B","4C"},{12,11,10,9,8,7,6,5,4,3,2,1})+LOOKUP(G13,{"1A","1B","1C","2A","2B","2C","3A","3B","3C","4A","4B","4C"},{12,11,10,9,8,7,6,5,4,3,2,1}))/2</x:f>
        <x:v>7.5</x:v>
      </x:c>
    </x:row>
    <x:row r="14" spans="1:34" ht="14.19999999999999928946">
      <x:c r="A14" s="408">
        <x:v>3</x:v>
      </x:c>
      <x:c r="B14" s="25" t="s">
        <x:v>382</x:v>
      </x:c>
      <x:c r="C14" s="17" t="s">
        <x:v>173</x:v>
      </x:c>
      <x:c r="D14" s="25" t="s">
        <x:v>297</x:v>
      </x:c>
      <x:c r="E14" s="17" t="s">
        <x:v>141</x:v>
      </x:c>
      <x:c r="F14" s="409" t="s">
        <x:v>158</x:v>
      </x:c>
      <x:c r="G14" s="410" t="s">
        <x:v>36</x:v>
      </x:c>
      <x:c r="H14" s="405" t="str">
        <x:f>LOOKUP(AH14,{1,2,3,4,5,6,7,8,9,10,11,12},{"4C","4B","4A","3C","3B","3A","2C","2B","2A","1C","1B","1A"})</x:f>
        <x:v>2C</x:v>
      </x:c>
      <x:c r="I14" s="411"/>
      <x:c r="J14" s="405" t="s">
        <x:v>321</x:v>
      </x:c>
      <x:c r="K14" s="411"/>
      <x:c r="L14" s="405" t="s">
        <x:v>321</x:v>
      </x:c>
      <x:c r="M14" s="411"/>
      <x:c r="N14" s="405" t="s">
        <x:v>321</x:v>
      </x:c>
      <x:c r="O14" s="411"/>
      <x:c r="P14" s="405" t="s">
        <x:v>321</x:v>
      </x:c>
      <x:c r="Q14" s="411"/>
      <x:c r="R14" s="405" t="s">
        <x:v>321</x:v>
      </x:c>
      <x:c r="S14" s="411"/>
      <x:c r="T14" s="405" t="s">
        <x:v>321</x:v>
      </x:c>
      <x:c r="U14" s="411"/>
      <x:c r="V14" s="405" t="s">
        <x:v>321</x:v>
      </x:c>
      <x:c r="W14" s="411"/>
      <x:c r="X14" s="405" t="s">
        <x:v>321</x:v>
      </x:c>
      <x:c r="Y14" s="411"/>
      <x:c r="Z14" s="405" t="s">
        <x:v>321</x:v>
      </x:c>
      <x:c r="AA14" s="411"/>
      <x:c r="AB14" s="405" t="s">
        <x:v>321</x:v>
      </x:c>
      <x:c r="AC14" s="411"/>
      <x:c r="AD14" s="405" t="s">
        <x:v>321</x:v>
      </x:c>
      <x:c r="AE14" s="411"/>
      <x:c r="AF14" s="405" t="s">
        <x:v>321</x:v>
      </x:c>
      <x:c r="AG14" s="1" t="s">
        <x:v>378</x:v>
      </x:c>
      <x:c r="AH14" s="402">
        <x:f>(LOOKUP(F14,{"1A","1B","1C","2A","2B","2C","3A","3B","3C","4A","4B","4C"},{12,11,10,9,8,7,6,5,4,3,2,1})+LOOKUP(G14,{"1A","1B","1C","2A","2B","2C","3A","3B","3C","4A","4B","4C"},{12,11,10,9,8,7,6,5,4,3,2,1}))/2</x:f>
        <x:v>7.5</x:v>
      </x:c>
    </x:row>
    <x:row r="15" spans="1:34" ht="14.19999999999999928946">
      <x:c r="A15" s="133">
        <x:v>4</x:v>
      </x:c>
      <x:c r="B15" s="25" t="s">
        <x:v>382</x:v>
      </x:c>
      <x:c r="C15" s="17" t="s">
        <x:v>173</x:v>
      </x:c>
      <x:c r="D15" s="25" t="s">
        <x:v>297</x:v>
      </x:c>
      <x:c r="E15" s="17" t="s">
        <x:v>144</x:v>
      </x:c>
      <x:c r="F15" s="409" t="s">
        <x:v>158</x:v>
      </x:c>
      <x:c r="G15" s="410" t="s">
        <x:v>36</x:v>
      </x:c>
      <x:c r="H15" s="405" t="str">
        <x:f>LOOKUP(AH14,{1,2,3,4,5,6,7,8,9,10,11,12},{"4C","4B","4A","3C","3B","3A","2C","2B","2A","1C","1B","1A"})</x:f>
        <x:v>2C</x:v>
      </x:c>
      <x:c r="I15" s="406"/>
      <x:c r="J15" s="407" t="s">
        <x:v>321</x:v>
      </x:c>
      <x:c r="K15" s="406"/>
      <x:c r="L15" s="407" t="s">
        <x:v>321</x:v>
      </x:c>
      <x:c r="M15" s="406"/>
      <x:c r="N15" s="407" t="s">
        <x:v>321</x:v>
      </x:c>
      <x:c r="O15" s="406"/>
      <x:c r="P15" s="407" t="s">
        <x:v>321</x:v>
      </x:c>
      <x:c r="Q15" s="406"/>
      <x:c r="R15" s="407" t="s">
        <x:v>321</x:v>
      </x:c>
      <x:c r="S15" s="406"/>
      <x:c r="T15" s="407" t="s">
        <x:v>321</x:v>
      </x:c>
      <x:c r="U15" s="406"/>
      <x:c r="V15" s="407" t="s">
        <x:v>321</x:v>
      </x:c>
      <x:c r="W15" s="406"/>
      <x:c r="X15" s="407" t="s">
        <x:v>321</x:v>
      </x:c>
      <x:c r="Y15" s="406"/>
      <x:c r="Z15" s="407" t="s">
        <x:v>321</x:v>
      </x:c>
      <x:c r="AA15" s="406"/>
      <x:c r="AB15" s="407" t="s">
        <x:v>321</x:v>
      </x:c>
      <x:c r="AC15" s="406"/>
      <x:c r="AD15" s="407" t="s">
        <x:v>321</x:v>
      </x:c>
      <x:c r="AE15" s="406"/>
      <x:c r="AF15" s="407" t="s">
        <x:v>321</x:v>
      </x:c>
      <x:c r="AG15" s="1" t="s">
        <x:v>378</x:v>
      </x:c>
      <x:c r="AH15" s="402">
        <x:f>(LOOKUP(F15,{"1A","1B","1C","2A","2B","2C","3A","3B","3C","4A","4B","4C"},{12,11,10,9,8,7,6,5,4,3,2,1})+LOOKUP(G15,{"1A","1B","1C","2A","2B","2C","3A","3B","3C","4A","4B","4C"},{12,11,10,9,8,7,6,5,4,3,2,1}))/2</x:f>
        <x:v>7.5</x:v>
      </x:c>
    </x:row>
    <x:row r="16" spans="1:34" ht="14.19999999999999928946">
      <x:c r="A16" s="412">
        <x:v>5</x:v>
      </x:c>
      <x:c r="B16" s="135" t="s">
        <x:v>382</x:v>
      </x:c>
      <x:c r="C16" s="21" t="s">
        <x:v>217</x:v>
      </x:c>
      <x:c r="D16" s="135" t="s">
        <x:v>297</x:v>
      </x:c>
      <x:c r="E16" s="21" t="s">
        <x:v>174</x:v>
      </x:c>
      <x:c r="F16" s="413" t="s">
        <x:v>158</x:v>
      </x:c>
      <x:c r="G16" s="414" t="s">
        <x:v>36</x:v>
      </x:c>
      <x:c r="H16" s="415" t="str">
        <x:f>LOOKUP(AH15,{1,2,3,4,5,6,7,8,9,10,11,12},{"4C","4B","4A","3C","3B","3A","2C","2B","2A","1C","1B","1A"})</x:f>
        <x:v>2C</x:v>
      </x:c>
      <x:c r="I16" s="416"/>
      <x:c r="J16" s="415" t="s">
        <x:v>321</x:v>
      </x:c>
      <x:c r="K16" s="416"/>
      <x:c r="L16" s="415" t="s">
        <x:v>321</x:v>
      </x:c>
      <x:c r="M16" s="416"/>
      <x:c r="N16" s="415" t="s">
        <x:v>321</x:v>
      </x:c>
      <x:c r="O16" s="416"/>
      <x:c r="P16" s="415" t="s">
        <x:v>321</x:v>
      </x:c>
      <x:c r="Q16" s="416"/>
      <x:c r="R16" s="415" t="s">
        <x:v>321</x:v>
      </x:c>
      <x:c r="S16" s="416"/>
      <x:c r="T16" s="415" t="s">
        <x:v>321</x:v>
      </x:c>
      <x:c r="U16" s="416"/>
      <x:c r="V16" s="415" t="s">
        <x:v>321</x:v>
      </x:c>
      <x:c r="W16" s="416"/>
      <x:c r="X16" s="415" t="s">
        <x:v>321</x:v>
      </x:c>
      <x:c r="Y16" s="416"/>
      <x:c r="Z16" s="415" t="s">
        <x:v>321</x:v>
      </x:c>
      <x:c r="AA16" s="416"/>
      <x:c r="AB16" s="415" t="s">
        <x:v>321</x:v>
      </x:c>
      <x:c r="AC16" s="416"/>
      <x:c r="AD16" s="415" t="s">
        <x:v>321</x:v>
      </x:c>
      <x:c r="AE16" s="416"/>
      <x:c r="AF16" s="415" t="s">
        <x:v>321</x:v>
      </x:c>
      <x:c r="AG16" s="1" t="s">
        <x:v>365</x:v>
      </x:c>
      <x:c r="AH16" s="402">
        <x:f>(LOOKUP(F16,{"1A","1B","1C","2A","2B","2C","3A","3B","3C","4A","4B","4C"},{12,11,10,9,8,7,6,5,4,3,2,1})+LOOKUP(G16,{"1A","1B","1C","2A","2B","2C","3A","3B","3C","4A","4B","4C"},{12,11,10,9,8,7,6,5,4,3,2,1}))/2</x:f>
        <x:v>7.5</x:v>
      </x:c>
    </x:row>
    <x:row r="17" spans="1:34" ht="14.19999999999999928946">
      <x:c r="A17" s="417">
        <x:v>6</x:v>
      </x:c>
      <x:c r="B17" s="135" t="s">
        <x:v>382</x:v>
      </x:c>
      <x:c r="C17" s="21" t="s">
        <x:v>217</x:v>
      </x:c>
      <x:c r="D17" s="135" t="s">
        <x:v>297</x:v>
      </x:c>
      <x:c r="E17" s="21" t="s">
        <x:v>127</x:v>
      </x:c>
      <x:c r="F17" s="413" t="s">
        <x:v>158</x:v>
      </x:c>
      <x:c r="G17" s="414" t="s">
        <x:v>36</x:v>
      </x:c>
      <x:c r="H17" s="415" t="str">
        <x:f>LOOKUP(AH16,{1,2,3,4,5,6,7,8,9,10,11,12},{"4C","4B","4A","3C","3B","3A","2C","2B","2A","1C","1B","1A"})</x:f>
        <x:v>2C</x:v>
      </x:c>
      <x:c r="I17" s="418"/>
      <x:c r="J17" s="419" t="s">
        <x:v>321</x:v>
      </x:c>
      <x:c r="K17" s="418"/>
      <x:c r="L17" s="419" t="s">
        <x:v>321</x:v>
      </x:c>
      <x:c r="M17" s="418"/>
      <x:c r="N17" s="419" t="s">
        <x:v>321</x:v>
      </x:c>
      <x:c r="O17" s="418"/>
      <x:c r="P17" s="419" t="s">
        <x:v>321</x:v>
      </x:c>
      <x:c r="Q17" s="418"/>
      <x:c r="R17" s="419" t="s">
        <x:v>321</x:v>
      </x:c>
      <x:c r="S17" s="418"/>
      <x:c r="T17" s="419" t="s">
        <x:v>321</x:v>
      </x:c>
      <x:c r="U17" s="418"/>
      <x:c r="V17" s="419" t="s">
        <x:v>321</x:v>
      </x:c>
      <x:c r="W17" s="418"/>
      <x:c r="X17" s="419" t="s">
        <x:v>321</x:v>
      </x:c>
      <x:c r="Y17" s="418"/>
      <x:c r="Z17" s="419" t="s">
        <x:v>321</x:v>
      </x:c>
      <x:c r="AA17" s="418"/>
      <x:c r="AB17" s="419" t="s">
        <x:v>321</x:v>
      </x:c>
      <x:c r="AC17" s="418"/>
      <x:c r="AD17" s="419" t="s">
        <x:v>321</x:v>
      </x:c>
      <x:c r="AE17" s="418"/>
      <x:c r="AF17" s="419" t="s">
        <x:v>321</x:v>
      </x:c>
      <x:c r="AG17" s="1" t="s">
        <x:v>365</x:v>
      </x:c>
      <x:c r="AH17" s="402">
        <x:f>(LOOKUP(F17,{"1A","1B","1C","2A","2B","2C","3A","3B","3C","4A","4B","4C"},{12,11,10,9,8,7,6,5,4,3,2,1})+LOOKUP(G17,{"1A","1B","1C","2A","2B","2C","3A","3B","3C","4A","4B","4C"},{12,11,10,9,8,7,6,5,4,3,2,1}))/2</x:f>
        <x:v>7.5</x:v>
      </x:c>
    </x:row>
    <x:row r="18" spans="1:34" ht="14.19999999999999928946">
      <x:c r="A18" s="412">
        <x:v>7</x:v>
      </x:c>
      <x:c r="B18" s="135" t="s">
        <x:v>382</x:v>
      </x:c>
      <x:c r="C18" s="21" t="s">
        <x:v>217</x:v>
      </x:c>
      <x:c r="D18" s="135" t="s">
        <x:v>297</x:v>
      </x:c>
      <x:c r="E18" s="21" t="s">
        <x:v>62</x:v>
      </x:c>
      <x:c r="F18" s="413" t="s">
        <x:v>158</x:v>
      </x:c>
      <x:c r="G18" s="414" t="s">
        <x:v>36</x:v>
      </x:c>
      <x:c r="H18" s="415" t="str">
        <x:f>LOOKUP(AH17,{1,2,3,4,5,6,7,8,9,10,11,12},{"4C","4B","4A","3C","3B","3A","2C","2B","2A","1C","1B","1A"})</x:f>
        <x:v>2C</x:v>
      </x:c>
      <x:c r="I18" s="416"/>
      <x:c r="J18" s="415" t="s">
        <x:v>321</x:v>
      </x:c>
      <x:c r="K18" s="416"/>
      <x:c r="L18" s="415" t="s">
        <x:v>321</x:v>
      </x:c>
      <x:c r="M18" s="416"/>
      <x:c r="N18" s="415" t="s">
        <x:v>321</x:v>
      </x:c>
      <x:c r="O18" s="416"/>
      <x:c r="P18" s="415" t="s">
        <x:v>321</x:v>
      </x:c>
      <x:c r="Q18" s="416"/>
      <x:c r="R18" s="415" t="s">
        <x:v>321</x:v>
      </x:c>
      <x:c r="S18" s="416"/>
      <x:c r="T18" s="415" t="s">
        <x:v>321</x:v>
      </x:c>
      <x:c r="U18" s="416"/>
      <x:c r="V18" s="415" t="s">
        <x:v>321</x:v>
      </x:c>
      <x:c r="W18" s="416"/>
      <x:c r="X18" s="415" t="s">
        <x:v>321</x:v>
      </x:c>
      <x:c r="Y18" s="416"/>
      <x:c r="Z18" s="415" t="s">
        <x:v>321</x:v>
      </x:c>
      <x:c r="AA18" s="416"/>
      <x:c r="AB18" s="415" t="s">
        <x:v>321</x:v>
      </x:c>
      <x:c r="AC18" s="416"/>
      <x:c r="AD18" s="415" t="s">
        <x:v>321</x:v>
      </x:c>
      <x:c r="AE18" s="416"/>
      <x:c r="AF18" s="415" t="s">
        <x:v>321</x:v>
      </x:c>
      <x:c r="AG18" s="1" t="s">
        <x:v>365</x:v>
      </x:c>
      <x:c r="AH18" s="402">
        <x:f>(LOOKUP(F18,{"1A","1B","1C","2A","2B","2C","3A","3B","3C","4A","4B","4C"},{12,11,10,9,8,7,6,5,4,3,2,1})+LOOKUP(G18,{"1A","1B","1C","2A","2B","2C","3A","3B","3C","4A","4B","4C"},{12,11,10,9,8,7,6,5,4,3,2,1}))/2</x:f>
        <x:v>7.5</x:v>
      </x:c>
    </x:row>
    <x:row r="19" spans="1:34" ht="14.19999999999999928946">
      <x:c r="A19" s="417">
        <x:v>8</x:v>
      </x:c>
      <x:c r="B19" s="135" t="s">
        <x:v>382</x:v>
      </x:c>
      <x:c r="C19" s="21" t="s">
        <x:v>217</x:v>
      </x:c>
      <x:c r="D19" s="135" t="s">
        <x:v>297</x:v>
      </x:c>
      <x:c r="E19" s="21" t="s">
        <x:v>299</x:v>
      </x:c>
      <x:c r="F19" s="413" t="s">
        <x:v>158</x:v>
      </x:c>
      <x:c r="G19" s="414" t="s">
        <x:v>36</x:v>
      </x:c>
      <x:c r="H19" s="415" t="str">
        <x:f>LOOKUP(AH18,{1,2,3,4,5,6,7,8,9,10,11,12},{"4C","4B","4A","3C","3B","3A","2C","2B","2A","1C","1B","1A"})</x:f>
        <x:v>2C</x:v>
      </x:c>
      <x:c r="I19" s="416"/>
      <x:c r="J19" s="415" t="s">
        <x:v>321</x:v>
      </x:c>
      <x:c r="K19" s="416"/>
      <x:c r="L19" s="415" t="s">
        <x:v>321</x:v>
      </x:c>
      <x:c r="M19" s="416"/>
      <x:c r="N19" s="415" t="s">
        <x:v>321</x:v>
      </x:c>
      <x:c r="O19" s="416"/>
      <x:c r="P19" s="415" t="s">
        <x:v>321</x:v>
      </x:c>
      <x:c r="Q19" s="416"/>
      <x:c r="R19" s="415" t="s">
        <x:v>321</x:v>
      </x:c>
      <x:c r="S19" s="416"/>
      <x:c r="T19" s="415" t="s">
        <x:v>321</x:v>
      </x:c>
      <x:c r="U19" s="416"/>
      <x:c r="V19" s="415" t="s">
        <x:v>321</x:v>
      </x:c>
      <x:c r="W19" s="416"/>
      <x:c r="X19" s="415" t="s">
        <x:v>321</x:v>
      </x:c>
      <x:c r="Y19" s="416"/>
      <x:c r="Z19" s="415" t="s">
        <x:v>321</x:v>
      </x:c>
      <x:c r="AA19" s="416"/>
      <x:c r="AB19" s="415" t="s">
        <x:v>321</x:v>
      </x:c>
      <x:c r="AC19" s="416"/>
      <x:c r="AD19" s="415" t="s">
        <x:v>321</x:v>
      </x:c>
      <x:c r="AE19" s="416"/>
      <x:c r="AF19" s="415" t="s">
        <x:v>321</x:v>
      </x:c>
      <x:c r="AG19" s="1" t="s">
        <x:v>365</x:v>
      </x:c>
      <x:c r="AH19" s="402">
        <x:f>(LOOKUP(F19,{"1A","1B","1C","2A","2B","2C","3A","3B","3C","4A","4B","4C"},{12,11,10,9,8,7,6,5,4,3,2,1})+LOOKUP(G19,{"1A","1B","1C","2A","2B","2C","3A","3B","3C","4A","4B","4C"},{12,11,10,9,8,7,6,5,4,3,2,1}))/2</x:f>
        <x:v>7.5</x:v>
      </x:c>
    </x:row>
    <x:row r="20" spans="1:34" ht="14.19999999999999928946">
      <x:c r="A20" s="412">
        <x:v>9</x:v>
      </x:c>
      <x:c r="B20" s="135" t="s">
        <x:v>382</x:v>
      </x:c>
      <x:c r="C20" s="21" t="s">
        <x:v>173</x:v>
      </x:c>
      <x:c r="D20" s="135" t="s">
        <x:v>297</x:v>
      </x:c>
      <x:c r="E20" s="21" t="s">
        <x:v>211</x:v>
      </x:c>
      <x:c r="F20" s="413" t="s">
        <x:v>158</x:v>
      </x:c>
      <x:c r="G20" s="414" t="s">
        <x:v>36</x:v>
      </x:c>
      <x:c r="H20" s="415" t="str">
        <x:f>LOOKUP(AH19,{1,2,3,4,5,6,7,8,9,10,11,12},{"4C","4B","4A","3C","3B","3A","2C","2B","2A","1C","1B","1A"})</x:f>
        <x:v>2C</x:v>
      </x:c>
      <x:c r="I20" s="416"/>
      <x:c r="J20" s="415" t="s">
        <x:v>321</x:v>
      </x:c>
      <x:c r="K20" s="416"/>
      <x:c r="L20" s="415" t="s">
        <x:v>321</x:v>
      </x:c>
      <x:c r="M20" s="416"/>
      <x:c r="N20" s="415" t="s">
        <x:v>321</x:v>
      </x:c>
      <x:c r="O20" s="416"/>
      <x:c r="P20" s="415" t="s">
        <x:v>321</x:v>
      </x:c>
      <x:c r="Q20" s="416"/>
      <x:c r="R20" s="415" t="s">
        <x:v>321</x:v>
      </x:c>
      <x:c r="S20" s="416"/>
      <x:c r="T20" s="415" t="s">
        <x:v>321</x:v>
      </x:c>
      <x:c r="U20" s="416"/>
      <x:c r="V20" s="415" t="s">
        <x:v>321</x:v>
      </x:c>
      <x:c r="W20" s="416"/>
      <x:c r="X20" s="415" t="s">
        <x:v>321</x:v>
      </x:c>
      <x:c r="Y20" s="416"/>
      <x:c r="Z20" s="415" t="s">
        <x:v>321</x:v>
      </x:c>
      <x:c r="AA20" s="416"/>
      <x:c r="AB20" s="415" t="s">
        <x:v>321</x:v>
      </x:c>
      <x:c r="AC20" s="416"/>
      <x:c r="AD20" s="415" t="s">
        <x:v>321</x:v>
      </x:c>
      <x:c r="AE20" s="416"/>
      <x:c r="AF20" s="415" t="s">
        <x:v>321</x:v>
      </x:c>
      <x:c r="AG20" s="1" t="s">
        <x:v>365</x:v>
      </x:c>
      <x:c r="AH20" s="402">
        <x:f>(LOOKUP(F20,{"1A","1B","1C","2A","2B","2C","3A","3B","3C","4A","4B","4C"},{12,11,10,9,8,7,6,5,4,3,2,1})+LOOKUP(G20,{"1A","1B","1C","2A","2B","2C","3A","3B","3C","4A","4B","4C"},{12,11,10,9,8,7,6,5,4,3,2,1}))/2</x:f>
        <x:v>7.5</x:v>
      </x:c>
    </x:row>
    <x:row r="21" spans="1:34" ht="14.59999999999999964473">
      <x:c r="A21" s="420">
        <x:v>10</x:v>
      </x:c>
      <x:c r="B21" s="421" t="s">
        <x:v>382</x:v>
      </x:c>
      <x:c r="C21" s="422" t="s">
        <x:v>171</x:v>
      </x:c>
      <x:c r="D21" s="421" t="s">
        <x:v>297</x:v>
      </x:c>
      <x:c r="E21" s="422" t="s">
        <x:v>268</x:v>
      </x:c>
      <x:c r="F21" s="423" t="s">
        <x:v>158</x:v>
      </x:c>
      <x:c r="G21" s="424" t="s">
        <x:v>36</x:v>
      </x:c>
      <x:c r="H21" s="425" t="str">
        <x:f>LOOKUP(AH20,{1,2,3,4,5,6,7,8,9,10,11,12},{"4C","4B","4A","3C","3B","3A","2C","2B","2A","1C","1B","1A"})</x:f>
        <x:v>2C</x:v>
      </x:c>
      <x:c r="I21" s="426"/>
      <x:c r="J21" s="425" t="s">
        <x:v>321</x:v>
      </x:c>
      <x:c r="K21" s="426"/>
      <x:c r="L21" s="425" t="s">
        <x:v>321</x:v>
      </x:c>
      <x:c r="M21" s="426"/>
      <x:c r="N21" s="425" t="s">
        <x:v>321</x:v>
      </x:c>
      <x:c r="O21" s="426"/>
      <x:c r="P21" s="425" t="s">
        <x:v>321</x:v>
      </x:c>
      <x:c r="Q21" s="426"/>
      <x:c r="R21" s="425" t="s">
        <x:v>321</x:v>
      </x:c>
      <x:c r="S21" s="426"/>
      <x:c r="T21" s="425" t="s">
        <x:v>321</x:v>
      </x:c>
      <x:c r="U21" s="426"/>
      <x:c r="V21" s="425" t="s">
        <x:v>321</x:v>
      </x:c>
      <x:c r="W21" s="426"/>
      <x:c r="X21" s="425" t="s">
        <x:v>321</x:v>
      </x:c>
      <x:c r="Y21" s="426"/>
      <x:c r="Z21" s="425" t="s">
        <x:v>321</x:v>
      </x:c>
      <x:c r="AA21" s="426"/>
      <x:c r="AB21" s="425" t="s">
        <x:v>321</x:v>
      </x:c>
      <x:c r="AC21" s="426"/>
      <x:c r="AD21" s="425" t="s">
        <x:v>321</x:v>
      </x:c>
      <x:c r="AE21" s="426"/>
      <x:c r="AF21" s="425" t="s">
        <x:v>321</x:v>
      </x:c>
      <x:c r="AG21" s="1" t="s">
        <x:v>365</x:v>
      </x:c>
      <x:c r="AH21" s="402">
        <x:f>(LOOKUP(F21,{"1A","1B","1C","2A","2B","2C","3A","3B","3C","4A","4B","4C"},{12,11,10,9,8,7,6,5,4,3,2,1})+LOOKUP(G21,{"1A","1B","1C","2A","2B","2C","3A","3B","3C","4A","4B","4C"},{12,11,10,9,8,7,6,5,4,3,2,1}))/2</x:f>
        <x:v>7.5</x:v>
      </x:c>
    </x:row>
    <x:row r="23" spans="4:6" ht="19.55000000000000071054">
      <x:c r="D23" s="490" t="s">
        <x:v>362</x:v>
      </x:c>
      <x:c r="E23" s="490"/>
      <x:c r="F23" s="490"/>
    </x:row>
    <x:row r="24" spans="1:32" ht="14.59999999999999964473">
      <x:c r="A24" s="136"/>
      <x:c r="B24" s="136"/>
      <x:c r="C24" s="136"/>
      <x:c r="D24" s="136"/>
      <x:c r="E24" s="136"/>
      <x:c r="F24" s="485" t="s">
        <x:v>308</x:v>
      </x:c>
      <x:c r="G24" s="486"/>
      <x:c r="H24" s="487"/>
      <x:c r="I24" s="488" t="s">
        <x:v>13</x:v>
      </x:c>
      <x:c r="J24" s="487"/>
      <x:c r="K24" s="488" t="s">
        <x:v>11</x:v>
      </x:c>
      <x:c r="L24" s="487"/>
      <x:c r="M24" s="488" t="s">
        <x:v>5</x:v>
      </x:c>
      <x:c r="N24" s="487"/>
      <x:c r="O24" s="488" t="s">
        <x:v>4</x:v>
      </x:c>
      <x:c r="P24" s="487"/>
      <x:c r="Q24" s="488" t="s">
        <x:v>12</x:v>
      </x:c>
      <x:c r="R24" s="487"/>
      <x:c r="S24" s="488" t="s">
        <x:v>1</x:v>
      </x:c>
      <x:c r="T24" s="487"/>
      <x:c r="U24" s="488" t="s">
        <x:v>6</x:v>
      </x:c>
      <x:c r="V24" s="487"/>
      <x:c r="W24" s="488" t="s">
        <x:v>7</x:v>
      </x:c>
      <x:c r="X24" s="487"/>
      <x:c r="Y24" s="488" t="s">
        <x:v>10</x:v>
      </x:c>
      <x:c r="Z24" s="487"/>
      <x:c r="AA24" s="488" t="s">
        <x:v>316</x:v>
      </x:c>
      <x:c r="AB24" s="487"/>
      <x:c r="AC24" s="488" t="s">
        <x:v>318</x:v>
      </x:c>
      <x:c r="AD24" s="487"/>
      <x:c r="AE24" s="488" t="s">
        <x:v>317</x:v>
      </x:c>
      <x:c r="AF24" s="487"/>
    </x:row>
    <x:row r="25" spans="1:32">
      <x:c r="A25" s="476" t="s">
        <x:v>300</x:v>
      </x:c>
      <x:c r="B25" s="476" t="s">
        <x:v>235</x:v>
      </x:c>
      <x:c r="C25" s="476" t="s">
        <x:v>257</x:v>
      </x:c>
      <x:c r="D25" s="476" t="s">
        <x:v>294</x:v>
      </x:c>
      <x:c r="E25" s="476" t="s">
        <x:v>186</x:v>
      </x:c>
      <x:c r="F25" s="479" t="s">
        <x:v>374</x:v>
      </x:c>
      <x:c r="G25" s="481" t="s">
        <x:v>374</x:v>
      </x:c>
      <x:c r="H25" s="483" t="s">
        <x:v>192</x:v>
      </x:c>
      <x:c r="I25" s="481" t="s">
        <x:v>374</x:v>
      </x:c>
      <x:c r="J25" s="483" t="s">
        <x:v>369</x:v>
      </x:c>
      <x:c r="K25" s="481" t="s">
        <x:v>374</x:v>
      </x:c>
      <x:c r="L25" s="483" t="s">
        <x:v>369</x:v>
      </x:c>
      <x:c r="M25" s="481" t="s">
        <x:v>374</x:v>
      </x:c>
      <x:c r="N25" s="483" t="s">
        <x:v>369</x:v>
      </x:c>
      <x:c r="O25" s="481" t="s">
        <x:v>374</x:v>
      </x:c>
      <x:c r="P25" s="483" t="s">
        <x:v>369</x:v>
      </x:c>
      <x:c r="Q25" s="481" t="s">
        <x:v>374</x:v>
      </x:c>
      <x:c r="R25" s="483" t="s">
        <x:v>369</x:v>
      </x:c>
      <x:c r="S25" s="481" t="s">
        <x:v>374</x:v>
      </x:c>
      <x:c r="T25" s="483" t="s">
        <x:v>369</x:v>
      </x:c>
      <x:c r="U25" s="481" t="s">
        <x:v>374</x:v>
      </x:c>
      <x:c r="V25" s="483" t="s">
        <x:v>369</x:v>
      </x:c>
      <x:c r="W25" s="481" t="s">
        <x:v>374</x:v>
      </x:c>
      <x:c r="X25" s="483" t="s">
        <x:v>369</x:v>
      </x:c>
      <x:c r="Y25" s="481" t="s">
        <x:v>374</x:v>
      </x:c>
      <x:c r="Z25" s="483" t="s">
        <x:v>369</x:v>
      </x:c>
      <x:c r="AA25" s="481" t="s">
        <x:v>374</x:v>
      </x:c>
      <x:c r="AB25" s="483" t="s">
        <x:v>369</x:v>
      </x:c>
      <x:c r="AC25" s="481" t="s">
        <x:v>374</x:v>
      </x:c>
      <x:c r="AD25" s="483" t="s">
        <x:v>369</x:v>
      </x:c>
      <x:c r="AE25" s="481" t="s">
        <x:v>374</x:v>
      </x:c>
      <x:c r="AF25" s="483" t="s">
        <x:v>369</x:v>
      </x:c>
    </x:row>
    <x:row r="26" spans="1:32">
      <x:c r="A26" s="477"/>
      <x:c r="B26" s="477"/>
      <x:c r="C26" s="477"/>
      <x:c r="D26" s="477"/>
      <x:c r="E26" s="477"/>
      <x:c r="F26" s="480"/>
      <x:c r="G26" s="482"/>
      <x:c r="H26" s="484"/>
      <x:c r="I26" s="482"/>
      <x:c r="J26" s="484"/>
      <x:c r="K26" s="482"/>
      <x:c r="L26" s="484"/>
      <x:c r="M26" s="482"/>
      <x:c r="N26" s="484"/>
      <x:c r="O26" s="482"/>
      <x:c r="P26" s="484"/>
      <x:c r="Q26" s="482"/>
      <x:c r="R26" s="484"/>
      <x:c r="S26" s="482"/>
      <x:c r="T26" s="484"/>
      <x:c r="U26" s="482"/>
      <x:c r="V26" s="484"/>
      <x:c r="W26" s="482"/>
      <x:c r="X26" s="484"/>
      <x:c r="Y26" s="482"/>
      <x:c r="Z26" s="484"/>
      <x:c r="AA26" s="482"/>
      <x:c r="AB26" s="484"/>
      <x:c r="AC26" s="482"/>
      <x:c r="AD26" s="484"/>
      <x:c r="AE26" s="482"/>
      <x:c r="AF26" s="484"/>
    </x:row>
    <x:row r="27" spans="1:34" ht="14.30000000000000071054">
      <x:c r="A27" s="427">
        <x:v>1</x:v>
      </x:c>
      <x:c r="B27" s="428" t="s">
        <x:v>362</x:v>
      </x:c>
      <x:c r="C27" s="278" t="s">
        <x:v>217</x:v>
      </x:c>
      <x:c r="D27" s="428" t="s">
        <x:v>297</x:v>
      </x:c>
      <x:c r="E27" s="278" t="s">
        <x:v>116</x:v>
      </x:c>
      <x:c r="F27" s="395" t="s">
        <x:v>158</x:v>
      </x:c>
      <x:c r="G27" s="396" t="s">
        <x:v>36</x:v>
      </x:c>
      <x:c r="H27" s="429" t="str">
        <x:f>LOOKUP(AH27,{1,2,3,4,5,6,7,8,9,10,11,12},{"4C","4B","4A","3C","3B","3A","2C","2B","2A","1C","1B","1A"})</x:f>
        <x:v>2C</x:v>
      </x:c>
      <x:c r="I27" s="398"/>
      <x:c r="J27" s="400"/>
      <x:c r="K27" s="398"/>
      <x:c r="L27" s="400"/>
      <x:c r="M27" s="398"/>
      <x:c r="N27" s="400"/>
      <x:c r="O27" s="398"/>
      <x:c r="P27" s="400"/>
      <x:c r="Q27" s="398"/>
      <x:c r="R27" s="400"/>
      <x:c r="S27" s="398"/>
      <x:c r="T27" s="400"/>
      <x:c r="U27" s="398"/>
      <x:c r="V27" s="400"/>
      <x:c r="W27" s="398"/>
      <x:c r="X27" s="400"/>
      <x:c r="Y27" s="398"/>
      <x:c r="Z27" s="400"/>
      <x:c r="AA27" s="398"/>
      <x:c r="AB27" s="400"/>
      <x:c r="AC27" s="398"/>
      <x:c r="AD27" s="400"/>
      <x:c r="AE27" s="398"/>
      <x:c r="AF27" s="400"/>
      <x:c r="AG27" s="401" t="s">
        <x:v>384</x:v>
      </x:c>
      <x:c r="AH27" s="402">
        <x:f>(LOOKUP(F27,{"1A","1B","1C","2A","2B","2C","3A","3B","3C","4A","4B","4C"},{12,11,10,9,8,7,6,5,4,3,2,1})+LOOKUP(G27,{"1A","1B","1C","2A","2B","2C","3A","3B","3C","4A","4B","4C"},{12,11,10,9,8,7,6,5,4,3,2,1}))/2</x:f>
        <x:v>7.5</x:v>
      </x:c>
    </x:row>
    <x:row r="28" spans="1:34" ht="14.19999999999999928946">
      <x:c r="A28" s="430">
        <x:v>2</x:v>
      </x:c>
      <x:c r="B28" s="431" t="s">
        <x:v>362</x:v>
      </x:c>
      <x:c r="C28" s="16" t="s">
        <x:v>217</x:v>
      </x:c>
      <x:c r="D28" s="431" t="s">
        <x:v>301</x:v>
      </x:c>
      <x:c r="E28" s="16" t="s">
        <x:v>129</x:v>
      </x:c>
      <x:c r="F28" s="403" t="s">
        <x:v>158</x:v>
      </x:c>
      <x:c r="G28" s="404" t="s">
        <x:v>36</x:v>
      </x:c>
      <x:c r="H28" s="405" t="str">
        <x:f>LOOKUP(AH28,{1,2,3,4,5,6,7,8,9,10,11,12},{"4C","4B","4A","3C","3B","3A","2C","2B","2A","1C","1B","1A"})</x:f>
        <x:v>2C</x:v>
      </x:c>
      <x:c r="I28" s="406"/>
      <x:c r="J28" s="432" t="s">
        <x:v>321</x:v>
      </x:c>
      <x:c r="K28" s="406"/>
      <x:c r="L28" s="432" t="s">
        <x:v>321</x:v>
      </x:c>
      <x:c r="M28" s="406"/>
      <x:c r="N28" s="432" t="s">
        <x:v>321</x:v>
      </x:c>
      <x:c r="O28" s="406"/>
      <x:c r="P28" s="432" t="s">
        <x:v>321</x:v>
      </x:c>
      <x:c r="Q28" s="406"/>
      <x:c r="R28" s="432" t="s">
        <x:v>321</x:v>
      </x:c>
      <x:c r="S28" s="406"/>
      <x:c r="T28" s="432" t="s">
        <x:v>321</x:v>
      </x:c>
      <x:c r="U28" s="406"/>
      <x:c r="V28" s="432" t="s">
        <x:v>321</x:v>
      </x:c>
      <x:c r="W28" s="406"/>
      <x:c r="X28" s="432" t="s">
        <x:v>321</x:v>
      </x:c>
      <x:c r="Y28" s="406"/>
      <x:c r="Z28" s="432" t="s">
        <x:v>321</x:v>
      </x:c>
      <x:c r="AA28" s="406"/>
      <x:c r="AB28" s="432" t="s">
        <x:v>321</x:v>
      </x:c>
      <x:c r="AC28" s="406"/>
      <x:c r="AD28" s="432" t="s">
        <x:v>321</x:v>
      </x:c>
      <x:c r="AE28" s="406"/>
      <x:c r="AF28" s="432" t="s">
        <x:v>321</x:v>
      </x:c>
      <x:c r="AG28" s="1" t="s">
        <x:v>378</x:v>
      </x:c>
      <x:c r="AH28" s="402">
        <x:f>(LOOKUP(F28,{"1A","1B","1C","2A","2B","2C","3A","3B","3C","4A","4B","4C"},{12,11,10,9,8,7,6,5,4,3,2,1})+LOOKUP(G28,{"1A","1B","1C","2A","2B","2C","3A","3B","3C","4A","4B","4C"},{12,11,10,9,8,7,6,5,4,3,2,1}))/2</x:f>
        <x:v>7.5</x:v>
      </x:c>
    </x:row>
    <x:row r="29" spans="1:34" ht="14.19999999999999928946">
      <x:c r="A29" s="433">
        <x:v>3</x:v>
      </x:c>
      <x:c r="B29" s="431" t="s">
        <x:v>362</x:v>
      </x:c>
      <x:c r="C29" s="16" t="s">
        <x:v>217</x:v>
      </x:c>
      <x:c r="D29" s="431" t="s">
        <x:v>297</x:v>
      </x:c>
      <x:c r="E29" s="16" t="s">
        <x:v>22</x:v>
      </x:c>
      <x:c r="F29" s="409" t="s">
        <x:v>158</x:v>
      </x:c>
      <x:c r="G29" s="410" t="s">
        <x:v>36</x:v>
      </x:c>
      <x:c r="H29" s="405" t="str">
        <x:f>LOOKUP(AH29,{1,2,3,4,5,6,7,8,9,10,11,12},{"4C","4B","4A","3C","3B","3A","2C","2B","2A","1C","1B","1A"})</x:f>
        <x:v>2C</x:v>
      </x:c>
      <x:c r="I29" s="411"/>
      <x:c r="J29" s="405" t="s">
        <x:v>321</x:v>
      </x:c>
      <x:c r="K29" s="411"/>
      <x:c r="L29" s="405" t="s">
        <x:v>321</x:v>
      </x:c>
      <x:c r="M29" s="411"/>
      <x:c r="N29" s="405" t="s">
        <x:v>321</x:v>
      </x:c>
      <x:c r="O29" s="411"/>
      <x:c r="P29" s="405" t="s">
        <x:v>321</x:v>
      </x:c>
      <x:c r="Q29" s="411"/>
      <x:c r="R29" s="405" t="s">
        <x:v>321</x:v>
      </x:c>
      <x:c r="S29" s="411"/>
      <x:c r="T29" s="405" t="s">
        <x:v>321</x:v>
      </x:c>
      <x:c r="U29" s="411"/>
      <x:c r="V29" s="405" t="s">
        <x:v>321</x:v>
      </x:c>
      <x:c r="W29" s="411"/>
      <x:c r="X29" s="405" t="s">
        <x:v>321</x:v>
      </x:c>
      <x:c r="Y29" s="411"/>
      <x:c r="Z29" s="405" t="s">
        <x:v>321</x:v>
      </x:c>
      <x:c r="AA29" s="411"/>
      <x:c r="AB29" s="405" t="s">
        <x:v>321</x:v>
      </x:c>
      <x:c r="AC29" s="411"/>
      <x:c r="AD29" s="405" t="s">
        <x:v>321</x:v>
      </x:c>
      <x:c r="AE29" s="411"/>
      <x:c r="AF29" s="405" t="s">
        <x:v>321</x:v>
      </x:c>
      <x:c r="AG29" s="1" t="s">
        <x:v>378</x:v>
      </x:c>
      <x:c r="AH29" s="402">
        <x:f>(LOOKUP(F29,{"1A","1B","1C","2A","2B","2C","3A","3B","3C","4A","4B","4C"},{12,11,10,9,8,7,6,5,4,3,2,1})+LOOKUP(G29,{"1A","1B","1C","2A","2B","2C","3A","3B","3C","4A","4B","4C"},{12,11,10,9,8,7,6,5,4,3,2,1}))/2</x:f>
        <x:v>7.5</x:v>
      </x:c>
    </x:row>
    <x:row r="30" spans="1:34" ht="14.19999999999999928946">
      <x:c r="A30" s="430">
        <x:v>4</x:v>
      </x:c>
      <x:c r="B30" s="431" t="s">
        <x:v>362</x:v>
      </x:c>
      <x:c r="C30" s="16" t="s">
        <x:v>167</x:v>
      </x:c>
      <x:c r="D30" s="431" t="s">
        <x:v>297</x:v>
      </x:c>
      <x:c r="E30" s="16" t="s">
        <x:v>15</x:v>
      </x:c>
      <x:c r="F30" s="409" t="s">
        <x:v>158</x:v>
      </x:c>
      <x:c r="G30" s="410" t="s">
        <x:v>36</x:v>
      </x:c>
      <x:c r="H30" s="405" t="str">
        <x:f>LOOKUP(AH30,{1,2,3,4,5,6,7,8,9,10,11,12},{"4C","4B","4A","3C","3B","3A","2C","2B","2A","1C","1B","1A"})</x:f>
        <x:v>2C</x:v>
      </x:c>
      <x:c r="I30" s="406"/>
      <x:c r="J30" s="432" t="s">
        <x:v>321</x:v>
      </x:c>
      <x:c r="K30" s="406"/>
      <x:c r="L30" s="432" t="s">
        <x:v>321</x:v>
      </x:c>
      <x:c r="M30" s="406"/>
      <x:c r="N30" s="432" t="s">
        <x:v>321</x:v>
      </x:c>
      <x:c r="O30" s="406"/>
      <x:c r="P30" s="432" t="s">
        <x:v>321</x:v>
      </x:c>
      <x:c r="Q30" s="406"/>
      <x:c r="R30" s="432" t="s">
        <x:v>321</x:v>
      </x:c>
      <x:c r="S30" s="406"/>
      <x:c r="T30" s="432" t="s">
        <x:v>321</x:v>
      </x:c>
      <x:c r="U30" s="406"/>
      <x:c r="V30" s="432" t="s">
        <x:v>321</x:v>
      </x:c>
      <x:c r="W30" s="406"/>
      <x:c r="X30" s="432" t="s">
        <x:v>321</x:v>
      </x:c>
      <x:c r="Y30" s="406"/>
      <x:c r="Z30" s="432" t="s">
        <x:v>321</x:v>
      </x:c>
      <x:c r="AA30" s="406"/>
      <x:c r="AB30" s="432" t="s">
        <x:v>321</x:v>
      </x:c>
      <x:c r="AC30" s="406"/>
      <x:c r="AD30" s="432" t="s">
        <x:v>321</x:v>
      </x:c>
      <x:c r="AE30" s="406"/>
      <x:c r="AF30" s="432" t="s">
        <x:v>321</x:v>
      </x:c>
      <x:c r="AG30" s="1" t="s">
        <x:v>378</x:v>
      </x:c>
      <x:c r="AH30" s="402">
        <x:f>(LOOKUP(F30,{"1A","1B","1C","2A","2B","2C","3A","3B","3C","4A","4B","4C"},{12,11,10,9,8,7,6,5,4,3,2,1})+LOOKUP(G30,{"1A","1B","1C","2A","2B","2C","3A","3B","3C","4A","4B","4C"},{12,11,10,9,8,7,6,5,4,3,2,1}))/2</x:f>
        <x:v>7.5</x:v>
      </x:c>
    </x:row>
    <x:row r="31" spans="1:34" ht="14.19999999999999928946">
      <x:c r="A31" s="433">
        <x:v>5</x:v>
      </x:c>
      <x:c r="B31" s="431" t="s">
        <x:v>362</x:v>
      </x:c>
      <x:c r="C31" s="16" t="s">
        <x:v>167</x:v>
      </x:c>
      <x:c r="D31" s="431" t="s">
        <x:v>297</x:v>
      </x:c>
      <x:c r="E31" s="16" t="s">
        <x:v>296</x:v>
      </x:c>
      <x:c r="F31" s="409" t="s">
        <x:v>158</x:v>
      </x:c>
      <x:c r="G31" s="410" t="s">
        <x:v>36</x:v>
      </x:c>
      <x:c r="H31" s="405" t="str">
        <x:f>LOOKUP(AH31,{1,2,3,4,5,6,7,8,9,10,11,12},{"4C","4B","4A","3C","3B","3A","2C","2B","2A","1C","1B","1A"})</x:f>
        <x:v>2C</x:v>
      </x:c>
      <x:c r="I31" s="411"/>
      <x:c r="J31" s="405"/>
      <x:c r="K31" s="411"/>
      <x:c r="L31" s="405"/>
      <x:c r="M31" s="411"/>
      <x:c r="N31" s="405"/>
      <x:c r="O31" s="411"/>
      <x:c r="P31" s="405"/>
      <x:c r="Q31" s="411"/>
      <x:c r="R31" s="405"/>
      <x:c r="S31" s="411"/>
      <x:c r="T31" s="405"/>
      <x:c r="U31" s="411"/>
      <x:c r="V31" s="405"/>
      <x:c r="W31" s="411"/>
      <x:c r="X31" s="405"/>
      <x:c r="Y31" s="411"/>
      <x:c r="Z31" s="405"/>
      <x:c r="AA31" s="411"/>
      <x:c r="AB31" s="434" t="s">
        <x:v>321</x:v>
      </x:c>
      <x:c r="AC31" s="411"/>
      <x:c r="AD31" s="434" t="s">
        <x:v>321</x:v>
      </x:c>
      <x:c r="AE31" s="411"/>
      <x:c r="AF31" s="434" t="s">
        <x:v>321</x:v>
      </x:c>
      <x:c r="AH31" s="402">
        <x:f>(LOOKUP(F31,{"1A","1B","1C","2A","2B","2C","3A","3B","3C","4A","4B","4C"},{12,11,10,9,8,7,6,5,4,3,2,1})+LOOKUP(G31,{"1A","1B","1C","2A","2B","2C","3A","3B","3C","4A","4B","4C"},{12,11,10,9,8,7,6,5,4,3,2,1}))/2</x:f>
        <x:v>7.5</x:v>
      </x:c>
    </x:row>
    <x:row r="32" spans="1:34" ht="14.19999999999999928946">
      <x:c r="A32" s="430">
        <x:v>6</x:v>
      </x:c>
      <x:c r="B32" s="431" t="s">
        <x:v>362</x:v>
      </x:c>
      <x:c r="C32" s="16"/>
      <x:c r="D32" s="431"/>
      <x:c r="E32" s="16"/>
      <x:c r="F32" s="409"/>
      <x:c r="G32" s="410"/>
      <x:c r="H32" s="405"/>
      <x:c r="I32" s="406"/>
      <x:c r="J32" s="432"/>
      <x:c r="K32" s="406"/>
      <x:c r="L32" s="432"/>
      <x:c r="M32" s="406"/>
      <x:c r="N32" s="432"/>
      <x:c r="O32" s="406"/>
      <x:c r="P32" s="432"/>
      <x:c r="Q32" s="406"/>
      <x:c r="R32" s="432"/>
      <x:c r="S32" s="406"/>
      <x:c r="T32" s="432"/>
      <x:c r="U32" s="406"/>
      <x:c r="V32" s="432"/>
      <x:c r="W32" s="406"/>
      <x:c r="X32" s="432"/>
      <x:c r="Y32" s="406"/>
      <x:c r="Z32" s="432"/>
      <x:c r="AA32" s="406"/>
      <x:c r="AB32" s="432"/>
      <x:c r="AC32" s="406"/>
      <x:c r="AD32" s="432"/>
      <x:c r="AE32" s="406"/>
      <x:c r="AF32" s="432"/>
      <x:c r="AH32" s="402" t="e">
        <x:f>(LOOKUP(F32,{"1A","1B","1C","2A","2B","2C","3A","3B","3C","4A","4B","4C"},{12,11,10,9,8,7,6,5,4,3,2,1})+LOOKUP(G32,{"1A","1B","1C","2A","2B","2C","3A","3B","3C","4A","4B","4C"},{12,11,10,9,8,7,6,5,4,3,2,1}))/2</x:f>
        <x:v>#N/A</x:v>
      </x:c>
    </x:row>
    <x:row r="33" spans="1:34" ht="14.19999999999999928946">
      <x:c r="A33" s="433">
        <x:v>7</x:v>
      </x:c>
      <x:c r="B33" s="431" t="s">
        <x:v>362</x:v>
      </x:c>
      <x:c r="C33" s="16"/>
      <x:c r="D33" s="431"/>
      <x:c r="E33" s="16"/>
      <x:c r="F33" s="409"/>
      <x:c r="G33" s="410"/>
      <x:c r="H33" s="405"/>
      <x:c r="I33" s="411"/>
      <x:c r="J33" s="405"/>
      <x:c r="K33" s="411"/>
      <x:c r="L33" s="405"/>
      <x:c r="M33" s="411"/>
      <x:c r="N33" s="405"/>
      <x:c r="O33" s="411"/>
      <x:c r="P33" s="405"/>
      <x:c r="Q33" s="411"/>
      <x:c r="R33" s="405"/>
      <x:c r="S33" s="411"/>
      <x:c r="T33" s="405"/>
      <x:c r="U33" s="411"/>
      <x:c r="V33" s="405"/>
      <x:c r="W33" s="411"/>
      <x:c r="X33" s="405"/>
      <x:c r="Y33" s="411"/>
      <x:c r="Z33" s="405"/>
      <x:c r="AA33" s="411"/>
      <x:c r="AB33" s="405"/>
      <x:c r="AC33" s="411"/>
      <x:c r="AD33" s="405"/>
      <x:c r="AE33" s="411"/>
      <x:c r="AF33" s="405"/>
      <x:c r="AH33" s="402" t="e">
        <x:f>(LOOKUP(F33,{"1A","1B","1C","2A","2B","2C","3A","3B","3C","4A","4B","4C"},{12,11,10,9,8,7,6,5,4,3,2,1})+LOOKUP(G33,{"1A","1B","1C","2A","2B","2C","3A","3B","3C","4A","4B","4C"},{12,11,10,9,8,7,6,5,4,3,2,1}))/2</x:f>
        <x:v>#N/A</x:v>
      </x:c>
    </x:row>
    <x:row r="34" spans="1:34" ht="14.19999999999999928946">
      <x:c r="A34" s="430">
        <x:v>8</x:v>
      </x:c>
      <x:c r="B34" s="431" t="s">
        <x:v>362</x:v>
      </x:c>
      <x:c r="C34" s="16"/>
      <x:c r="D34" s="431"/>
      <x:c r="E34" s="16"/>
      <x:c r="F34" s="409"/>
      <x:c r="G34" s="410"/>
      <x:c r="H34" s="405"/>
      <x:c r="I34" s="411"/>
      <x:c r="J34" s="405"/>
      <x:c r="K34" s="411"/>
      <x:c r="L34" s="405"/>
      <x:c r="M34" s="411"/>
      <x:c r="N34" s="405"/>
      <x:c r="O34" s="411"/>
      <x:c r="P34" s="405"/>
      <x:c r="Q34" s="411"/>
      <x:c r="R34" s="405"/>
      <x:c r="S34" s="411"/>
      <x:c r="T34" s="405"/>
      <x:c r="U34" s="411"/>
      <x:c r="V34" s="405"/>
      <x:c r="W34" s="411"/>
      <x:c r="X34" s="405"/>
      <x:c r="Y34" s="411"/>
      <x:c r="Z34" s="405"/>
      <x:c r="AA34" s="411"/>
      <x:c r="AB34" s="405"/>
      <x:c r="AC34" s="411"/>
      <x:c r="AD34" s="405"/>
      <x:c r="AE34" s="411"/>
      <x:c r="AF34" s="405"/>
      <x:c r="AH34" s="402" t="e">
        <x:f>(LOOKUP(F34,{"1A","1B","1C","2A","2B","2C","3A","3B","3C","4A","4B","4C"},{12,11,10,9,8,7,6,5,4,3,2,1})+LOOKUP(G34,{"1A","1B","1C","2A","2B","2C","3A","3B","3C","4A","4B","4C"},{12,11,10,9,8,7,6,5,4,3,2,1}))/2</x:f>
        <x:v>#N/A</x:v>
      </x:c>
    </x:row>
    <x:row r="35" spans="1:34" ht="14.19999999999999928946">
      <x:c r="A35" s="408">
        <x:v>9</x:v>
      </x:c>
      <x:c r="B35" s="25" t="s">
        <x:v>362</x:v>
      </x:c>
      <x:c r="C35" s="17"/>
      <x:c r="D35" s="25"/>
      <x:c r="E35" s="17"/>
      <x:c r="F35" s="409"/>
      <x:c r="G35" s="410"/>
      <x:c r="H35" s="405"/>
      <x:c r="I35" s="411"/>
      <x:c r="J35" s="405"/>
      <x:c r="K35" s="411"/>
      <x:c r="L35" s="405"/>
      <x:c r="M35" s="411"/>
      <x:c r="N35" s="405"/>
      <x:c r="O35" s="411"/>
      <x:c r="P35" s="405"/>
      <x:c r="Q35" s="411"/>
      <x:c r="R35" s="405"/>
      <x:c r="S35" s="411"/>
      <x:c r="T35" s="405"/>
      <x:c r="U35" s="411"/>
      <x:c r="V35" s="405"/>
      <x:c r="W35" s="411"/>
      <x:c r="X35" s="405"/>
      <x:c r="Y35" s="411"/>
      <x:c r="Z35" s="405"/>
      <x:c r="AA35" s="411"/>
      <x:c r="AB35" s="405"/>
      <x:c r="AC35" s="411"/>
      <x:c r="AD35" s="405"/>
      <x:c r="AE35" s="411"/>
      <x:c r="AF35" s="405"/>
      <x:c r="AH35" s="402" t="e">
        <x:f>(LOOKUP(F35,{"1A","1B","1C","2A","2B","2C","3A","3B","3C","4A","4B","4C"},{12,11,10,9,8,7,6,5,4,3,2,1})+LOOKUP(G35,{"1A","1B","1C","2A","2B","2C","3A","3B","3C","4A","4B","4C"},{12,11,10,9,8,7,6,5,4,3,2,1}))/2</x:f>
        <x:v>#N/A</x:v>
      </x:c>
    </x:row>
    <x:row r="36" spans="1:34" ht="14.59999999999999964473">
      <x:c r="A36" s="134">
        <x:v>10</x:v>
      </x:c>
      <x:c r="B36" s="26" t="s">
        <x:v>362</x:v>
      </x:c>
      <x:c r="C36" s="68"/>
      <x:c r="D36" s="26"/>
      <x:c r="E36" s="68"/>
      <x:c r="F36" s="435"/>
      <x:c r="G36" s="436"/>
      <x:c r="H36" s="437"/>
      <x:c r="I36" s="438"/>
      <x:c r="J36" s="437"/>
      <x:c r="K36" s="438"/>
      <x:c r="L36" s="437"/>
      <x:c r="M36" s="438"/>
      <x:c r="N36" s="437"/>
      <x:c r="O36" s="438"/>
      <x:c r="P36" s="437"/>
      <x:c r="Q36" s="438"/>
      <x:c r="R36" s="437"/>
      <x:c r="S36" s="438"/>
      <x:c r="T36" s="437"/>
      <x:c r="U36" s="438"/>
      <x:c r="V36" s="437"/>
      <x:c r="W36" s="438"/>
      <x:c r="X36" s="437"/>
      <x:c r="Y36" s="438"/>
      <x:c r="Z36" s="437"/>
      <x:c r="AA36" s="438"/>
      <x:c r="AB36" s="437"/>
      <x:c r="AC36" s="438"/>
      <x:c r="AD36" s="437"/>
      <x:c r="AE36" s="438"/>
      <x:c r="AF36" s="437"/>
      <x:c r="AH36" s="402" t="e">
        <x:f>(LOOKUP(F36,{"1A","1B","1C","2A","2B","2C","3A","3B","3C","4A","4B","4C"},{12,11,10,9,8,7,6,5,4,3,2,1})+LOOKUP(G36,{"1A","1B","1C","2A","2B","2C","3A","3B","3C","4A","4B","4C"},{12,11,10,9,8,7,6,5,4,3,2,1}))/2</x:f>
        <x:v>#N/A</x:v>
      </x:c>
    </x:row>
    <x:row r="38" spans="4:6" ht="19.55000000000000071054">
      <x:c r="D38" s="490" t="s">
        <x:v>367</x:v>
      </x:c>
      <x:c r="E38" s="490"/>
      <x:c r="F38" s="490"/>
    </x:row>
    <x:row r="39" spans="1:32" ht="14.59999999999999964473">
      <x:c r="A39" s="136"/>
      <x:c r="B39" s="136"/>
      <x:c r="C39" s="136"/>
      <x:c r="D39" s="136"/>
      <x:c r="E39" s="136"/>
      <x:c r="F39" s="485" t="s">
        <x:v>308</x:v>
      </x:c>
      <x:c r="G39" s="486"/>
      <x:c r="H39" s="487"/>
      <x:c r="I39" s="488" t="s">
        <x:v>13</x:v>
      </x:c>
      <x:c r="J39" s="487"/>
      <x:c r="K39" s="488" t="s">
        <x:v>11</x:v>
      </x:c>
      <x:c r="L39" s="487"/>
      <x:c r="M39" s="488" t="s">
        <x:v>5</x:v>
      </x:c>
      <x:c r="N39" s="487"/>
      <x:c r="O39" s="488" t="s">
        <x:v>4</x:v>
      </x:c>
      <x:c r="P39" s="487"/>
      <x:c r="Q39" s="488" t="s">
        <x:v>12</x:v>
      </x:c>
      <x:c r="R39" s="487"/>
      <x:c r="S39" s="488" t="s">
        <x:v>1</x:v>
      </x:c>
      <x:c r="T39" s="487"/>
      <x:c r="U39" s="488" t="s">
        <x:v>6</x:v>
      </x:c>
      <x:c r="V39" s="487"/>
      <x:c r="W39" s="488" t="s">
        <x:v>7</x:v>
      </x:c>
      <x:c r="X39" s="487"/>
      <x:c r="Y39" s="488" t="s">
        <x:v>10</x:v>
      </x:c>
      <x:c r="Z39" s="487"/>
      <x:c r="AA39" s="488" t="s">
        <x:v>316</x:v>
      </x:c>
      <x:c r="AB39" s="487"/>
      <x:c r="AC39" s="488" t="s">
        <x:v>318</x:v>
      </x:c>
      <x:c r="AD39" s="487"/>
      <x:c r="AE39" s="488" t="s">
        <x:v>317</x:v>
      </x:c>
      <x:c r="AF39" s="487"/>
    </x:row>
    <x:row r="40" spans="1:32">
      <x:c r="A40" s="476" t="s">
        <x:v>300</x:v>
      </x:c>
      <x:c r="B40" s="476" t="s">
        <x:v>235</x:v>
      </x:c>
      <x:c r="C40" s="476" t="s">
        <x:v>257</x:v>
      </x:c>
      <x:c r="D40" s="476" t="s">
        <x:v>294</x:v>
      </x:c>
      <x:c r="E40" s="476" t="s">
        <x:v>186</x:v>
      </x:c>
      <x:c r="F40" s="479" t="s">
        <x:v>374</x:v>
      </x:c>
      <x:c r="G40" s="481" t="s">
        <x:v>374</x:v>
      </x:c>
      <x:c r="H40" s="483" t="s">
        <x:v>192</x:v>
      </x:c>
      <x:c r="I40" s="481" t="s">
        <x:v>374</x:v>
      </x:c>
      <x:c r="J40" s="483" t="s">
        <x:v>369</x:v>
      </x:c>
      <x:c r="K40" s="481" t="s">
        <x:v>374</x:v>
      </x:c>
      <x:c r="L40" s="483" t="s">
        <x:v>369</x:v>
      </x:c>
      <x:c r="M40" s="481" t="s">
        <x:v>374</x:v>
      </x:c>
      <x:c r="N40" s="483" t="s">
        <x:v>369</x:v>
      </x:c>
      <x:c r="O40" s="481" t="s">
        <x:v>374</x:v>
      </x:c>
      <x:c r="P40" s="483" t="s">
        <x:v>369</x:v>
      </x:c>
      <x:c r="Q40" s="481" t="s">
        <x:v>374</x:v>
      </x:c>
      <x:c r="R40" s="483" t="s">
        <x:v>369</x:v>
      </x:c>
      <x:c r="S40" s="481" t="s">
        <x:v>374</x:v>
      </x:c>
      <x:c r="T40" s="483" t="s">
        <x:v>369</x:v>
      </x:c>
      <x:c r="U40" s="481" t="s">
        <x:v>374</x:v>
      </x:c>
      <x:c r="V40" s="483" t="s">
        <x:v>369</x:v>
      </x:c>
      <x:c r="W40" s="481" t="s">
        <x:v>374</x:v>
      </x:c>
      <x:c r="X40" s="483" t="s">
        <x:v>369</x:v>
      </x:c>
      <x:c r="Y40" s="481" t="s">
        <x:v>374</x:v>
      </x:c>
      <x:c r="Z40" s="483" t="s">
        <x:v>369</x:v>
      </x:c>
      <x:c r="AA40" s="481" t="s">
        <x:v>374</x:v>
      </x:c>
      <x:c r="AB40" s="483" t="s">
        <x:v>369</x:v>
      </x:c>
      <x:c r="AC40" s="481" t="s">
        <x:v>374</x:v>
      </x:c>
      <x:c r="AD40" s="483" t="s">
        <x:v>369</x:v>
      </x:c>
      <x:c r="AE40" s="481" t="s">
        <x:v>374</x:v>
      </x:c>
      <x:c r="AF40" s="483" t="s">
        <x:v>369</x:v>
      </x:c>
    </x:row>
    <x:row r="41" spans="1:32">
      <x:c r="A41" s="477"/>
      <x:c r="B41" s="477"/>
      <x:c r="C41" s="477"/>
      <x:c r="D41" s="477"/>
      <x:c r="E41" s="477"/>
      <x:c r="F41" s="480"/>
      <x:c r="G41" s="482"/>
      <x:c r="H41" s="484"/>
      <x:c r="I41" s="482"/>
      <x:c r="J41" s="484"/>
      <x:c r="K41" s="482"/>
      <x:c r="L41" s="484"/>
      <x:c r="M41" s="482"/>
      <x:c r="N41" s="484"/>
      <x:c r="O41" s="482"/>
      <x:c r="P41" s="484"/>
      <x:c r="Q41" s="482"/>
      <x:c r="R41" s="484"/>
      <x:c r="S41" s="482"/>
      <x:c r="T41" s="484"/>
      <x:c r="U41" s="482"/>
      <x:c r="V41" s="484"/>
      <x:c r="W41" s="482"/>
      <x:c r="X41" s="484"/>
      <x:c r="Y41" s="482"/>
      <x:c r="Z41" s="484"/>
      <x:c r="AA41" s="482"/>
      <x:c r="AB41" s="484"/>
      <x:c r="AC41" s="482"/>
      <x:c r="AD41" s="484"/>
      <x:c r="AE41" s="482"/>
      <x:c r="AF41" s="484"/>
    </x:row>
    <x:row r="42" spans="1:34" ht="14.30000000000000071054">
      <x:c r="A42" s="427">
        <x:v>1</x:v>
      </x:c>
      <x:c r="B42" s="428" t="s">
        <x:v>367</x:v>
      </x:c>
      <x:c r="C42" s="278" t="s">
        <x:v>217</x:v>
      </x:c>
      <x:c r="D42" s="428" t="s">
        <x:v>297</x:v>
      </x:c>
      <x:c r="E42" s="278" t="s">
        <x:v>298</x:v>
      </x:c>
      <x:c r="F42" s="395" t="s">
        <x:v>158</x:v>
      </x:c>
      <x:c r="G42" s="396" t="s">
        <x:v>36</x:v>
      </x:c>
      <x:c r="H42" s="429" t="str">
        <x:f>LOOKUP(AH42,{1,2,3,4,5,6,7,8,9,10,11,12},{"4C","4B","4A","3C","3B","3A","2C","2B","2A","1C","1B","1A"})</x:f>
        <x:v>2C</x:v>
      </x:c>
      <x:c r="I42" s="398"/>
      <x:c r="J42" s="400"/>
      <x:c r="K42" s="398"/>
      <x:c r="L42" s="400"/>
      <x:c r="M42" s="398"/>
      <x:c r="N42" s="400"/>
      <x:c r="O42" s="398"/>
      <x:c r="P42" s="439"/>
      <x:c r="Q42" s="398"/>
      <x:c r="R42" s="439"/>
      <x:c r="S42" s="398"/>
      <x:c r="T42" s="439"/>
      <x:c r="U42" s="398"/>
      <x:c r="V42" s="439"/>
      <x:c r="W42" s="398"/>
      <x:c r="X42" s="439"/>
      <x:c r="Y42" s="398"/>
      <x:c r="Z42" s="439"/>
      <x:c r="AA42" s="398"/>
      <x:c r="AB42" s="439"/>
      <x:c r="AC42" s="398"/>
      <x:c r="AD42" s="439"/>
      <x:c r="AE42" s="398"/>
      <x:c r="AF42" s="439"/>
      <x:c r="AG42" s="401" t="s">
        <x:v>384</x:v>
      </x:c>
      <x:c r="AH42" s="402">
        <x:f>(LOOKUP(F42,{"1A","1B","1C","2A","2B","2C","3A","3B","3C","4A","4B","4C"},{12,11,10,9,8,7,6,5,4,3,2,1})+LOOKUP(G42,{"1A","1B","1C","2A","2B","2C","3A","3B","3C","4A","4B","4C"},{12,11,10,9,8,7,6,5,4,3,2,1}))/2</x:f>
        <x:v>7.5</x:v>
      </x:c>
    </x:row>
    <x:row r="43" spans="1:34" ht="14.19999999999999928946">
      <x:c r="A43" s="430">
        <x:v>2</x:v>
      </x:c>
      <x:c r="B43" s="431" t="s">
        <x:v>367</x:v>
      </x:c>
      <x:c r="C43" s="16" t="s">
        <x:v>173</x:v>
      </x:c>
      <x:c r="D43" s="431" t="s">
        <x:v>297</x:v>
      </x:c>
      <x:c r="E43" s="16" t="s">
        <x:v>295</x:v>
      </x:c>
      <x:c r="F43" s="403" t="s">
        <x:v>158</x:v>
      </x:c>
      <x:c r="G43" s="404" t="s">
        <x:v>36</x:v>
      </x:c>
      <x:c r="H43" s="405" t="str">
        <x:f>LOOKUP(AH43,{1,2,3,4,5,6,7,8,9,10,11,12},{"4C","4B","4A","3C","3B","3A","2C","2B","2A","1C","1B","1A"})</x:f>
        <x:v>2C</x:v>
      </x:c>
      <x:c r="I43" s="406"/>
      <x:c r="J43" s="432"/>
      <x:c r="K43" s="406"/>
      <x:c r="L43" s="432"/>
      <x:c r="M43" s="406"/>
      <x:c r="N43" s="432"/>
      <x:c r="O43" s="406"/>
      <x:c r="P43" s="405" t="s">
        <x:v>321</x:v>
      </x:c>
      <x:c r="Q43" s="406"/>
      <x:c r="R43" s="405" t="s">
        <x:v>321</x:v>
      </x:c>
      <x:c r="S43" s="406"/>
      <x:c r="T43" s="405" t="s">
        <x:v>321</x:v>
      </x:c>
      <x:c r="U43" s="406"/>
      <x:c r="V43" s="405" t="s">
        <x:v>321</x:v>
      </x:c>
      <x:c r="W43" s="406"/>
      <x:c r="X43" s="405" t="s">
        <x:v>321</x:v>
      </x:c>
      <x:c r="Y43" s="406"/>
      <x:c r="Z43" s="405" t="s">
        <x:v>321</x:v>
      </x:c>
      <x:c r="AA43" s="406"/>
      <x:c r="AB43" s="405" t="s">
        <x:v>321</x:v>
      </x:c>
      <x:c r="AC43" s="406"/>
      <x:c r="AD43" s="405" t="s">
        <x:v>321</x:v>
      </x:c>
      <x:c r="AE43" s="406"/>
      <x:c r="AF43" s="405" t="s">
        <x:v>321</x:v>
      </x:c>
      <x:c r="AG43" s="1" t="s">
        <x:v>378</x:v>
      </x:c>
      <x:c r="AH43" s="402">
        <x:f>(LOOKUP(F43,{"1A","1B","1C","2A","2B","2C","3A","3B","3C","4A","4B","4C"},{12,11,10,9,8,7,6,5,4,3,2,1})+LOOKUP(G43,{"1A","1B","1C","2A","2B","2C","3A","3B","3C","4A","4B","4C"},{12,11,10,9,8,7,6,5,4,3,2,1}))/2</x:f>
        <x:v>7.5</x:v>
      </x:c>
    </x:row>
    <x:row r="44" spans="1:34" ht="14.19999999999999928946">
      <x:c r="A44" s="433">
        <x:v>3</x:v>
      </x:c>
      <x:c r="B44" s="431" t="s">
        <x:v>367</x:v>
      </x:c>
      <x:c r="C44" s="16" t="s">
        <x:v>171</x:v>
      </x:c>
      <x:c r="D44" s="431" t="s">
        <x:v>297</x:v>
      </x:c>
      <x:c r="E44" s="16" t="s">
        <x:v>271</x:v>
      </x:c>
      <x:c r="F44" s="409" t="s">
        <x:v>158</x:v>
      </x:c>
      <x:c r="G44" s="410" t="s">
        <x:v>36</x:v>
      </x:c>
      <x:c r="H44" s="405" t="str">
        <x:f>LOOKUP(AH44,{1,2,3,4,5,6,7,8,9,10,11,12},{"4C","4B","4A","3C","3B","3A","2C","2B","2A","1C","1B","1A"})</x:f>
        <x:v>2C</x:v>
      </x:c>
      <x:c r="I44" s="411"/>
      <x:c r="J44" s="405"/>
      <x:c r="K44" s="411"/>
      <x:c r="L44" s="405"/>
      <x:c r="M44" s="411"/>
      <x:c r="N44" s="405"/>
      <x:c r="O44" s="411"/>
      <x:c r="P44" s="432" t="s">
        <x:v>321</x:v>
      </x:c>
      <x:c r="Q44" s="411"/>
      <x:c r="R44" s="432" t="s">
        <x:v>321</x:v>
      </x:c>
      <x:c r="S44" s="411"/>
      <x:c r="T44" s="432" t="s">
        <x:v>321</x:v>
      </x:c>
      <x:c r="U44" s="411"/>
      <x:c r="V44" s="432" t="s">
        <x:v>321</x:v>
      </x:c>
      <x:c r="W44" s="411"/>
      <x:c r="X44" s="432" t="s">
        <x:v>321</x:v>
      </x:c>
      <x:c r="Y44" s="411"/>
      <x:c r="Z44" s="432" t="s">
        <x:v>321</x:v>
      </x:c>
      <x:c r="AA44" s="411"/>
      <x:c r="AB44" s="432" t="s">
        <x:v>321</x:v>
      </x:c>
      <x:c r="AC44" s="411"/>
      <x:c r="AD44" s="432" t="s">
        <x:v>321</x:v>
      </x:c>
      <x:c r="AE44" s="411"/>
      <x:c r="AF44" s="432" t="s">
        <x:v>321</x:v>
      </x:c>
      <x:c r="AG44" s="1" t="s">
        <x:v>378</x:v>
      </x:c>
      <x:c r="AH44" s="402">
        <x:f>(LOOKUP(F44,{"1A","1B","1C","2A","2B","2C","3A","3B","3C","4A","4B","4C"},{12,11,10,9,8,7,6,5,4,3,2,1})+LOOKUP(G44,{"1A","1B","1C","2A","2B","2C","3A","3B","3C","4A","4B","4C"},{12,11,10,9,8,7,6,5,4,3,2,1}))/2</x:f>
        <x:v>7.5</x:v>
      </x:c>
    </x:row>
    <x:row r="45" spans="1:34" ht="14.19999999999999928946">
      <x:c r="A45" s="430">
        <x:v>4</x:v>
      </x:c>
      <x:c r="B45" s="431" t="s">
        <x:v>367</x:v>
      </x:c>
      <x:c r="C45" s="16" t="s">
        <x:v>171</x:v>
      </x:c>
      <x:c r="D45" s="431" t="s">
        <x:v>297</x:v>
      </x:c>
      <x:c r="E45" s="16" t="s">
        <x:v>91</x:v>
      </x:c>
      <x:c r="F45" s="409" t="s">
        <x:v>158</x:v>
      </x:c>
      <x:c r="G45" s="410" t="s">
        <x:v>36</x:v>
      </x:c>
      <x:c r="H45" s="405" t="str">
        <x:f>LOOKUP(AH45,{1,2,3,4,5,6,7,8,9,10,11,12},{"4C","4B","4A","3C","3B","3A","2C","2B","2A","1C","1B","1A"})</x:f>
        <x:v>2C</x:v>
      </x:c>
      <x:c r="I45" s="406"/>
      <x:c r="J45" s="432"/>
      <x:c r="K45" s="406"/>
      <x:c r="L45" s="432"/>
      <x:c r="M45" s="406"/>
      <x:c r="N45" s="432"/>
      <x:c r="O45" s="406"/>
      <x:c r="P45" s="432"/>
      <x:c r="Q45" s="406"/>
      <x:c r="R45" s="432"/>
      <x:c r="S45" s="406"/>
      <x:c r="T45" s="432"/>
      <x:c r="U45" s="406"/>
      <x:c r="V45" s="432"/>
      <x:c r="W45" s="406"/>
      <x:c r="X45" s="432"/>
      <x:c r="Y45" s="406"/>
      <x:c r="Z45" s="432"/>
      <x:c r="AA45" s="406"/>
      <x:c r="AB45" s="432"/>
      <x:c r="AC45" s="406"/>
      <x:c r="AD45" s="432"/>
      <x:c r="AE45" s="406"/>
      <x:c r="AF45" s="440"/>
      <x:c r="AH45" s="402">
        <x:f>(LOOKUP(F45,{"1A","1B","1C","2A","2B","2C","3A","3B","3C","4A","4B","4C"},{12,11,10,9,8,7,6,5,4,3,2,1})+LOOKUP(G45,{"1A","1B","1C","2A","2B","2C","3A","3B","3C","4A","4B","4C"},{12,11,10,9,8,7,6,5,4,3,2,1}))/2</x:f>
        <x:v>7.5</x:v>
      </x:c>
    </x:row>
    <x:row r="46" spans="1:34" ht="14.19999999999999928946">
      <x:c r="A46" s="433">
        <x:v>5</x:v>
      </x:c>
      <x:c r="B46" s="431" t="s">
        <x:v>367</x:v>
      </x:c>
      <x:c r="C46" s="16"/>
      <x:c r="D46" s="431"/>
      <x:c r="E46" s="16"/>
      <x:c r="F46" s="409"/>
      <x:c r="G46" s="410"/>
      <x:c r="H46" s="405"/>
      <x:c r="I46" s="411"/>
      <x:c r="J46" s="405"/>
      <x:c r="K46" s="411"/>
      <x:c r="L46" s="405"/>
      <x:c r="M46" s="411"/>
      <x:c r="N46" s="405"/>
      <x:c r="O46" s="411"/>
      <x:c r="P46" s="405"/>
      <x:c r="Q46" s="411"/>
      <x:c r="R46" s="405"/>
      <x:c r="S46" s="411"/>
      <x:c r="T46" s="405"/>
      <x:c r="U46" s="411"/>
      <x:c r="V46" s="405"/>
      <x:c r="W46" s="411"/>
      <x:c r="X46" s="405"/>
      <x:c r="Y46" s="411"/>
      <x:c r="Z46" s="405"/>
      <x:c r="AA46" s="411"/>
      <x:c r="AB46" s="405"/>
      <x:c r="AC46" s="411"/>
      <x:c r="AD46" s="405"/>
      <x:c r="AE46" s="411"/>
      <x:c r="AF46" s="405"/>
      <x:c r="AH46" s="402" t="e">
        <x:f>(LOOKUP(F46,{"1A","1B","1C","2A","2B","2C","3A","3B","3C","4A","4B","4C"},{12,11,10,9,8,7,6,5,4,3,2,1})+LOOKUP(G46,{"1A","1B","1C","2A","2B","2C","3A","3B","3C","4A","4B","4C"},{12,11,10,9,8,7,6,5,4,3,2,1}))/2</x:f>
        <x:v>#N/A</x:v>
      </x:c>
    </x:row>
    <x:row r="47" spans="1:34" ht="14.19999999999999928946">
      <x:c r="A47" s="430">
        <x:v>6</x:v>
      </x:c>
      <x:c r="B47" s="431" t="s">
        <x:v>367</x:v>
      </x:c>
      <x:c r="C47" s="16"/>
      <x:c r="D47" s="431"/>
      <x:c r="E47" s="16"/>
      <x:c r="F47" s="409"/>
      <x:c r="G47" s="410"/>
      <x:c r="H47" s="405"/>
      <x:c r="I47" s="406"/>
      <x:c r="J47" s="432"/>
      <x:c r="K47" s="406"/>
      <x:c r="L47" s="432"/>
      <x:c r="M47" s="406"/>
      <x:c r="N47" s="432"/>
      <x:c r="O47" s="406"/>
      <x:c r="P47" s="432"/>
      <x:c r="Q47" s="406"/>
      <x:c r="R47" s="432"/>
      <x:c r="S47" s="406"/>
      <x:c r="T47" s="432"/>
      <x:c r="U47" s="406"/>
      <x:c r="V47" s="432"/>
      <x:c r="W47" s="406"/>
      <x:c r="X47" s="432"/>
      <x:c r="Y47" s="406"/>
      <x:c r="Z47" s="432"/>
      <x:c r="AA47" s="406"/>
      <x:c r="AB47" s="432"/>
      <x:c r="AC47" s="406"/>
      <x:c r="AD47" s="432"/>
      <x:c r="AE47" s="406"/>
      <x:c r="AF47" s="432"/>
      <x:c r="AH47" s="402" t="e">
        <x:f>(LOOKUP(F47,{"1A","1B","1C","2A","2B","2C","3A","3B","3C","4A","4B","4C"},{12,11,10,9,8,7,6,5,4,3,2,1})+LOOKUP(G47,{"1A","1B","1C","2A","2B","2C","3A","3B","3C","4A","4B","4C"},{12,11,10,9,8,7,6,5,4,3,2,1}))/2</x:f>
        <x:v>#N/A</x:v>
      </x:c>
    </x:row>
    <x:row r="48" spans="1:34" ht="14.19999999999999928946">
      <x:c r="A48" s="433">
        <x:v>7</x:v>
      </x:c>
      <x:c r="B48" s="431" t="s">
        <x:v>367</x:v>
      </x:c>
      <x:c r="C48" s="16"/>
      <x:c r="D48" s="431"/>
      <x:c r="E48" s="16"/>
      <x:c r="F48" s="409"/>
      <x:c r="G48" s="410"/>
      <x:c r="H48" s="405"/>
      <x:c r="I48" s="411"/>
      <x:c r="J48" s="405"/>
      <x:c r="K48" s="411"/>
      <x:c r="L48" s="405"/>
      <x:c r="M48" s="411"/>
      <x:c r="N48" s="405"/>
      <x:c r="O48" s="411"/>
      <x:c r="P48" s="405"/>
      <x:c r="Q48" s="411"/>
      <x:c r="R48" s="405"/>
      <x:c r="S48" s="411"/>
      <x:c r="T48" s="405"/>
      <x:c r="U48" s="411"/>
      <x:c r="V48" s="405"/>
      <x:c r="W48" s="411"/>
      <x:c r="X48" s="405"/>
      <x:c r="Y48" s="411"/>
      <x:c r="Z48" s="405"/>
      <x:c r="AA48" s="411"/>
      <x:c r="AB48" s="405"/>
      <x:c r="AC48" s="411"/>
      <x:c r="AD48" s="405"/>
      <x:c r="AE48" s="411"/>
      <x:c r="AF48" s="405"/>
      <x:c r="AH48" s="402" t="e">
        <x:f>(LOOKUP(F48,{"1A","1B","1C","2A","2B","2C","3A","3B","3C","4A","4B","4C"},{12,11,10,9,8,7,6,5,4,3,2,1})+LOOKUP(G48,{"1A","1B","1C","2A","2B","2C","3A","3B","3C","4A","4B","4C"},{12,11,10,9,8,7,6,5,4,3,2,1}))/2</x:f>
        <x:v>#N/A</x:v>
      </x:c>
    </x:row>
    <x:row r="49" spans="1:34" ht="14.19999999999999928946">
      <x:c r="A49" s="430">
        <x:v>8</x:v>
      </x:c>
      <x:c r="B49" s="431" t="s">
        <x:v>367</x:v>
      </x:c>
      <x:c r="C49" s="16"/>
      <x:c r="D49" s="431"/>
      <x:c r="E49" s="16"/>
      <x:c r="F49" s="409"/>
      <x:c r="G49" s="410"/>
      <x:c r="H49" s="405"/>
      <x:c r="I49" s="411"/>
      <x:c r="J49" s="405"/>
      <x:c r="K49" s="411"/>
      <x:c r="L49" s="405"/>
      <x:c r="M49" s="411"/>
      <x:c r="N49" s="405"/>
      <x:c r="O49" s="411"/>
      <x:c r="P49" s="405"/>
      <x:c r="Q49" s="411"/>
      <x:c r="R49" s="405"/>
      <x:c r="S49" s="411"/>
      <x:c r="T49" s="405"/>
      <x:c r="U49" s="411"/>
      <x:c r="V49" s="405"/>
      <x:c r="W49" s="411"/>
      <x:c r="X49" s="405"/>
      <x:c r="Y49" s="411"/>
      <x:c r="Z49" s="405"/>
      <x:c r="AA49" s="411"/>
      <x:c r="AB49" s="405"/>
      <x:c r="AC49" s="411"/>
      <x:c r="AD49" s="405"/>
      <x:c r="AE49" s="411"/>
      <x:c r="AF49" s="405"/>
      <x:c r="AH49" s="402" t="e">
        <x:f>(LOOKUP(F49,{"1A","1B","1C","2A","2B","2C","3A","3B","3C","4A","4B","4C"},{12,11,10,9,8,7,6,5,4,3,2,1})+LOOKUP(G49,{"1A","1B","1C","2A","2B","2C","3A","3B","3C","4A","4B","4C"},{12,11,10,9,8,7,6,5,4,3,2,1}))/2</x:f>
        <x:v>#N/A</x:v>
      </x:c>
    </x:row>
    <x:row r="50" spans="1:34" ht="14.19999999999999928946">
      <x:c r="A50" s="408">
        <x:v>9</x:v>
      </x:c>
      <x:c r="B50" s="25" t="s">
        <x:v>367</x:v>
      </x:c>
      <x:c r="C50" s="17"/>
      <x:c r="D50" s="25"/>
      <x:c r="E50" s="17"/>
      <x:c r="F50" s="409"/>
      <x:c r="G50" s="410"/>
      <x:c r="H50" s="405"/>
      <x:c r="I50" s="411"/>
      <x:c r="J50" s="405"/>
      <x:c r="K50" s="411"/>
      <x:c r="L50" s="405"/>
      <x:c r="M50" s="411"/>
      <x:c r="N50" s="405"/>
      <x:c r="O50" s="411"/>
      <x:c r="P50" s="405"/>
      <x:c r="Q50" s="411"/>
      <x:c r="R50" s="405"/>
      <x:c r="S50" s="411"/>
      <x:c r="T50" s="405"/>
      <x:c r="U50" s="411"/>
      <x:c r="V50" s="405"/>
      <x:c r="W50" s="411"/>
      <x:c r="X50" s="405"/>
      <x:c r="Y50" s="411"/>
      <x:c r="Z50" s="405"/>
      <x:c r="AA50" s="411"/>
      <x:c r="AB50" s="405"/>
      <x:c r="AC50" s="411"/>
      <x:c r="AD50" s="405"/>
      <x:c r="AE50" s="411"/>
      <x:c r="AF50" s="405"/>
      <x:c r="AH50" s="402" t="e">
        <x:f>(LOOKUP(F50,{"1A","1B","1C","2A","2B","2C","3A","3B","3C","4A","4B","4C"},{12,11,10,9,8,7,6,5,4,3,2,1})+LOOKUP(G50,{"1A","1B","1C","2A","2B","2C","3A","3B","3C","4A","4B","4C"},{12,11,10,9,8,7,6,5,4,3,2,1}))/2</x:f>
        <x:v>#N/A</x:v>
      </x:c>
    </x:row>
    <x:row r="51" spans="1:34" ht="14.59999999999999964473">
      <x:c r="A51" s="134">
        <x:v>10</x:v>
      </x:c>
      <x:c r="B51" s="26" t="s">
        <x:v>367</x:v>
      </x:c>
      <x:c r="C51" s="68"/>
      <x:c r="D51" s="26"/>
      <x:c r="E51" s="68"/>
      <x:c r="F51" s="435"/>
      <x:c r="G51" s="436"/>
      <x:c r="H51" s="437"/>
      <x:c r="I51" s="438"/>
      <x:c r="J51" s="437"/>
      <x:c r="K51" s="438"/>
      <x:c r="L51" s="437"/>
      <x:c r="M51" s="438"/>
      <x:c r="N51" s="437"/>
      <x:c r="O51" s="438"/>
      <x:c r="P51" s="437"/>
      <x:c r="Q51" s="438"/>
      <x:c r="R51" s="437"/>
      <x:c r="S51" s="438"/>
      <x:c r="T51" s="437"/>
      <x:c r="U51" s="438"/>
      <x:c r="V51" s="437"/>
      <x:c r="W51" s="438"/>
      <x:c r="X51" s="437"/>
      <x:c r="Y51" s="438"/>
      <x:c r="Z51" s="437"/>
      <x:c r="AA51" s="438"/>
      <x:c r="AB51" s="437"/>
      <x:c r="AC51" s="438"/>
      <x:c r="AD51" s="437"/>
      <x:c r="AE51" s="438"/>
      <x:c r="AF51" s="437"/>
      <x:c r="AH51" s="402" t="e">
        <x:f>(LOOKUP(F51,{"1A","1B","1C","2A","2B","2C","3A","3B","3C","4A","4B","4C"},{12,11,10,9,8,7,6,5,4,3,2,1})+LOOKUP(G51,{"1A","1B","1C","2A","2B","2C","3A","3B","3C","4A","4B","4C"},{12,11,10,9,8,7,6,5,4,3,2,1}))/2</x:f>
        <x:v>#N/A</x:v>
      </x:c>
    </x:row>
    <x:row r="53" spans="17:17">
      <x:c r="Q53" s="1" t="s">
        <x:v>331</x:v>
      </x:c>
    </x:row>
  </x:sheetData>
  <x:mergeCells count="140">
    <x:mergeCell ref="A1:E6"/>
    <x:mergeCell ref="H7:J7"/>
    <x:mergeCell ref="D8:F8"/>
    <x:mergeCell ref="F9:H9"/>
    <x:mergeCell ref="I9:J9"/>
    <x:mergeCell ref="K9:L9"/>
    <x:mergeCell ref="M9:N9"/>
    <x:mergeCell ref="O9:P9"/>
    <x:mergeCell ref="Q9:R9"/>
    <x:mergeCell ref="S9:T9"/>
    <x:mergeCell ref="U9:V9"/>
    <x:mergeCell ref="W9:X9"/>
    <x:mergeCell ref="Y9:Z9"/>
    <x:mergeCell ref="AA9:AB9"/>
    <x:mergeCell ref="AC9:AD9"/>
    <x:mergeCell ref="AE9:AF9"/>
    <x:mergeCell ref="A10:A11"/>
    <x:mergeCell ref="B10:B11"/>
    <x:mergeCell ref="C10:C11"/>
    <x:mergeCell ref="D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D23:F23"/>
    <x:mergeCell ref="F24:H24"/>
    <x:mergeCell ref="I24:J24"/>
    <x:mergeCell ref="K24:L24"/>
    <x:mergeCell ref="M24:N24"/>
    <x:mergeCell ref="O24:P24"/>
    <x:mergeCell ref="Q24:R24"/>
    <x:mergeCell ref="S24:T24"/>
    <x:mergeCell ref="U24:V24"/>
    <x:mergeCell ref="W24:X24"/>
    <x:mergeCell ref="Y24:Z24"/>
    <x:mergeCell ref="AA24:AB24"/>
    <x:mergeCell ref="AC24:AD24"/>
    <x:mergeCell ref="AE24:AF24"/>
    <x:mergeCell ref="A25:A26"/>
    <x:mergeCell ref="B25:B26"/>
    <x:mergeCell ref="C25:C26"/>
    <x:mergeCell ref="D25:D26"/>
    <x:mergeCell ref="E25:E26"/>
    <x:mergeCell ref="F25:F26"/>
    <x:mergeCell ref="G25:G26"/>
    <x:mergeCell ref="H25:H26"/>
    <x:mergeCell ref="I25:I26"/>
    <x:mergeCell ref="J25:J26"/>
    <x:mergeCell ref="K25:K26"/>
    <x:mergeCell ref="L25:L26"/>
    <x:mergeCell ref="M25:M26"/>
    <x:mergeCell ref="N25:N26"/>
    <x:mergeCell ref="O25:O26"/>
    <x:mergeCell ref="P25:P26"/>
    <x:mergeCell ref="Q25:Q26"/>
    <x:mergeCell ref="R25:R26"/>
    <x:mergeCell ref="S25:S26"/>
    <x:mergeCell ref="T25:T26"/>
    <x:mergeCell ref="U25:U26"/>
    <x:mergeCell ref="V25:V26"/>
    <x:mergeCell ref="W25:W26"/>
    <x:mergeCell ref="X25:X26"/>
    <x:mergeCell ref="Y25:Y26"/>
    <x:mergeCell ref="Z25:Z26"/>
    <x:mergeCell ref="AA25:AA26"/>
    <x:mergeCell ref="AB25:AB26"/>
    <x:mergeCell ref="AC25:AC26"/>
    <x:mergeCell ref="AD25:AD26"/>
    <x:mergeCell ref="AE25:AE26"/>
    <x:mergeCell ref="AF25:AF26"/>
    <x:mergeCell ref="D38:F38"/>
    <x:mergeCell ref="F39:H39"/>
    <x:mergeCell ref="I39:J39"/>
    <x:mergeCell ref="K39:L39"/>
    <x:mergeCell ref="M39:N39"/>
    <x:mergeCell ref="O39:P39"/>
    <x:mergeCell ref="Q39:R39"/>
    <x:mergeCell ref="S39:T39"/>
    <x:mergeCell ref="U39:V39"/>
    <x:mergeCell ref="W39:X39"/>
    <x:mergeCell ref="Y39:Z39"/>
    <x:mergeCell ref="AA39:AB39"/>
    <x:mergeCell ref="AC39:AD39"/>
    <x:mergeCell ref="AE39:AF39"/>
    <x:mergeCell ref="A40:A41"/>
    <x:mergeCell ref="B40:B41"/>
    <x:mergeCell ref="C40:C41"/>
    <x:mergeCell ref="D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9" baseType="lpstr">
      <vt:lpstr>85창 IMQC 등수 현황 종합</vt:lpstr>
      <vt:lpstr>1시험소</vt:lpstr>
      <vt:lpstr>2시험소</vt:lpstr>
      <vt:lpstr>3시험소</vt:lpstr>
      <vt:lpstr>5시험소</vt:lpstr>
      <vt:lpstr>6시험소</vt:lpstr>
      <vt:lpstr>7시험소</vt:lpstr>
      <vt:lpstr>8시험소</vt:lpstr>
      <vt:lpstr>방사선반</vt:lpstr>
    </vt:vector>
  </ep:TitlesOfParts>
  <ep:TotalTime>60754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ROKAF</dc:creator>
  <cp:lastModifiedBy>SeongYeol</cp:lastModifiedBy>
  <cp:revision>1767</cp:revision>
  <dcterms:created xsi:type="dcterms:W3CDTF">2022-02-04T02:10:10.477</dcterms:created>
  <dcterms:modified xsi:type="dcterms:W3CDTF">2025-05-29T12:41:07.653</dcterms:modified>
  <cp:version>1200.0100.01</cp:version>
</cp:coreProperties>
</file>